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3BF6E87F-626E-46D8-9793-2B0E609154D4}" xr6:coauthVersionLast="47" xr6:coauthVersionMax="47" xr10:uidLastSave="{00000000-0000-0000-0000-000000000000}"/>
  <bookViews>
    <workbookView xWindow="240" yWindow="105" windowWidth="14805" windowHeight="8010" firstSheet="2" activeTab="1" xr2:uid="{00000000-000D-0000-FFFF-FFFF00000000}"/>
  </bookViews>
  <sheets>
    <sheet name="ReadMe" sheetId="1" r:id="rId1"/>
    <sheet name="Inputs" sheetId="2" r:id="rId2"/>
    <sheet name="Cash Flow Model" sheetId="3" r:id="rId3"/>
    <sheet name="Sensitivity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8" i="4" l="1" a="1"/>
  <c r="E8" i="4"/>
  <c r="F8" i="4" a="1"/>
  <c r="F8" i="4"/>
  <c r="D8" i="4" a="1"/>
  <c r="D8" i="4" s="1"/>
  <c r="C8" i="4" a="1"/>
  <c r="C8" i="4" s="1"/>
  <c r="B8" i="4" a="1"/>
  <c r="B8" i="4" s="1"/>
  <c r="F7" i="4" a="1"/>
  <c r="F7" i="4" s="1"/>
  <c r="E7" i="4" a="1"/>
  <c r="E7" i="4" s="1"/>
  <c r="D7" i="4" a="1"/>
  <c r="D7" i="4" s="1"/>
  <c r="C7" i="4" a="1"/>
  <c r="C7" i="4" s="1"/>
  <c r="B7" i="4" a="1"/>
  <c r="B7" i="4" s="1"/>
  <c r="F6" i="4" a="1"/>
  <c r="F6" i="4" s="1"/>
  <c r="E6" i="4" a="1"/>
  <c r="E6" i="4" s="1"/>
  <c r="D6" i="4" a="1"/>
  <c r="D6" i="4" s="1"/>
  <c r="C6" i="4" a="1"/>
  <c r="C6" i="4" s="1"/>
  <c r="B6" i="4" a="1"/>
  <c r="B6" i="4" s="1"/>
  <c r="F5" i="4" a="1"/>
  <c r="F5" i="4" s="1"/>
  <c r="E5" i="4" a="1"/>
  <c r="E5" i="4" s="1"/>
  <c r="D5" i="4" a="1"/>
  <c r="D5" i="4" s="1"/>
  <c r="C5" i="4" a="1"/>
  <c r="C5" i="4" s="1"/>
  <c r="B5" i="4" a="1"/>
  <c r="B5" i="4" s="1"/>
  <c r="F4" i="4" a="1"/>
  <c r="F4" i="4" s="1"/>
  <c r="E4" i="4" a="1"/>
  <c r="E4" i="4" s="1"/>
  <c r="D4" i="4" a="1"/>
  <c r="D4" i="4" s="1"/>
  <c r="C4" i="4" a="1"/>
  <c r="C4" i="4" s="1"/>
  <c r="B4" i="4" a="1"/>
  <c r="B4" i="4" s="1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B66" i="3" s="1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F2" i="3"/>
  <c r="E2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B65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<sst xmlns="http://schemas.openxmlformats.org/spreadsheetml/2006/main" count="36" uniqueCount="35">
  <si>
    <t>Well Economics &amp; NPV/IRR Calculator</t>
  </si>
  <si>
    <t>Purpose:</t>
  </si>
  <si>
    <t>This tool models the 5-year cash flow of a single oil well and calculates its Net Present Value (NPV) and Internal Rate of Return (IRR), the two standard metrics used to evaluate whether a well is economically worth drilling.</t>
  </si>
  <si>
    <t>How it works:</t>
  </si>
  <si>
    <t>1. Inputs tab holds all assumptions (price, costs, decline rate, etc.)</t>
  </si>
  <si>
    <t>2. Cash Flow Model tab forecasts monthly oil production using Arps exponential decline, converts it to revenue, subtracts royalties and operating costs, and calculates monthly net cash flow.</t>
  </si>
  <si>
    <t>3. NPV and IRR are calculated from that cash flow at the bottom of the Cash Flow Model tab.</t>
  </si>
  <si>
    <t>4. Sensitivity tab shows how NPV changes across different oil price and CapEx scenarios using a Data Table.</t>
  </si>
  <si>
    <t>Author: Nahil Nigar</t>
  </si>
  <si>
    <t xml:space="preserve">This tool was built with guidance from Claude (Anthropic's AI assistant), </t>
  </si>
  <si>
    <t xml:space="preserve">which was used as a learning aid to understand the underlying formulas, </t>
  </si>
  <si>
    <t xml:space="preserve">Excel functions, and the Solver-alternative approach used here. The </t>
  </si>
  <si>
    <t xml:space="preserve">practice dataset used to test and validate the tool during development </t>
  </si>
  <si>
    <t xml:space="preserve">was also AI-generated sample data, standing in for real well production </t>
  </si>
  <si>
    <t>numbers.</t>
  </si>
  <si>
    <t>WELL ECONOMICS — INPUT ASSUMPTIONS</t>
  </si>
  <si>
    <t>CapEx ($)</t>
  </si>
  <si>
    <t>OpEx per Month ($)</t>
  </si>
  <si>
    <t>Oil Price ($/bbl)</t>
  </si>
  <si>
    <t>Royalty Rate (%)</t>
  </si>
  <si>
    <t>Initial Rate qi (bbl/day)</t>
  </si>
  <si>
    <t>Initial Decline Rate Di (annual, %)</t>
  </si>
  <si>
    <t>Discount Rate (%)</t>
  </si>
  <si>
    <t>Month #</t>
  </si>
  <si>
    <t>Date</t>
  </si>
  <si>
    <t>Production (bbl/day)</t>
  </si>
  <si>
    <t>Monthly Production (bbl)</t>
  </si>
  <si>
    <t>Gross Revenue</t>
  </si>
  <si>
    <t>Royalty ($)</t>
  </si>
  <si>
    <t>Net Revenue ($)</t>
  </si>
  <si>
    <t>OpEx ($)</t>
  </si>
  <si>
    <t>Net Cash Flow ($)</t>
  </si>
  <si>
    <t>NPV ($)</t>
  </si>
  <si>
    <t>IRR (%)</t>
  </si>
  <si>
    <t>NPV Sensitivity: Oil Price vs. 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</si>
</sst>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&quot;$&quot;#,##0"/>
  </numFmts>
  <fonts count="5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u/>
      <sz val="18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1" xfId="0" applyFont="1" applyBorder="1"/>
    <xf numFmtId="164" fontId="0" fillId="0" borderId="1" xfId="0" applyNumberFormat="1" applyBorder="1"/>
    <xf numFmtId="10" fontId="0" fillId="0" borderId="1" xfId="0" applyNumberFormat="1" applyBorder="1"/>
    <xf numFmtId="0" fontId="0" fillId="0" borderId="1" xfId="0" applyBorder="1"/>
    <xf numFmtId="43" fontId="0" fillId="0" borderId="1" xfId="0" applyNumberFormat="1" applyBorder="1"/>
    <xf numFmtId="165" fontId="3" fillId="0" borderId="1" xfId="0" applyNumberFormat="1" applyFont="1" applyBorder="1"/>
    <xf numFmtId="14" fontId="0" fillId="0" borderId="1" xfId="0" applyNumberFormat="1" applyBorder="1"/>
    <xf numFmtId="165" fontId="0" fillId="0" borderId="1" xfId="0" applyNumberFormat="1" applyBorder="1"/>
    <xf numFmtId="0" fontId="3" fillId="2" borderId="0" xfId="0" applyFont="1" applyFill="1"/>
    <xf numFmtId="165" fontId="3" fillId="2" borderId="0" xfId="0" applyNumberFormat="1" applyFont="1" applyFill="1"/>
    <xf numFmtId="9" fontId="3" fillId="2" borderId="0" xfId="0" applyNumberFormat="1" applyFont="1" applyFill="1"/>
    <xf numFmtId="8" fontId="0" fillId="0" borderId="1" xfId="0" applyNumberFormat="1" applyBorder="1"/>
    <xf numFmtId="0" fontId="3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Net Cash Flow Over 5-Year Well Life</a:t>
            </a:r>
          </a:p>
        </c:rich>
      </c:tx>
      <c:layout>
        <c:manualLayout>
          <c:xMode val="edge"/>
          <c:yMode val="edge"/>
          <c:x val="0.25113636962851449"/>
          <c:y val="6.57263164068179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'Cash Flow Model'!$I$1</c:f>
              <c:strCache>
                <c:ptCount val="1"/>
                <c:pt idx="0">
                  <c:v>Net Cash Flow ($)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'Cash Flow Model'!$B$2:$B$62</c:f>
              <c:numCache>
                <c:formatCode>m/d/yyyy</c:formatCode>
                <c:ptCount val="61"/>
                <c:pt idx="0">
                  <c:v>46388</c:v>
                </c:pt>
                <c:pt idx="1">
                  <c:v>46419</c:v>
                </c:pt>
                <c:pt idx="2">
                  <c:v>46447</c:v>
                </c:pt>
                <c:pt idx="3">
                  <c:v>46478</c:v>
                </c:pt>
                <c:pt idx="4">
                  <c:v>46508</c:v>
                </c:pt>
                <c:pt idx="5">
                  <c:v>46539</c:v>
                </c:pt>
                <c:pt idx="6">
                  <c:v>46569</c:v>
                </c:pt>
                <c:pt idx="7">
                  <c:v>46600</c:v>
                </c:pt>
                <c:pt idx="8">
                  <c:v>46631</c:v>
                </c:pt>
                <c:pt idx="9">
                  <c:v>46661</c:v>
                </c:pt>
                <c:pt idx="10">
                  <c:v>46692</c:v>
                </c:pt>
                <c:pt idx="11">
                  <c:v>46722</c:v>
                </c:pt>
                <c:pt idx="12">
                  <c:v>46753</c:v>
                </c:pt>
                <c:pt idx="13">
                  <c:v>46784</c:v>
                </c:pt>
                <c:pt idx="14">
                  <c:v>46813</c:v>
                </c:pt>
                <c:pt idx="15">
                  <c:v>46844</c:v>
                </c:pt>
                <c:pt idx="16">
                  <c:v>46874</c:v>
                </c:pt>
                <c:pt idx="17">
                  <c:v>46905</c:v>
                </c:pt>
                <c:pt idx="18">
                  <c:v>46935</c:v>
                </c:pt>
                <c:pt idx="19">
                  <c:v>46966</c:v>
                </c:pt>
                <c:pt idx="20">
                  <c:v>46997</c:v>
                </c:pt>
                <c:pt idx="21">
                  <c:v>47027</c:v>
                </c:pt>
                <c:pt idx="22">
                  <c:v>47058</c:v>
                </c:pt>
                <c:pt idx="23">
                  <c:v>47088</c:v>
                </c:pt>
                <c:pt idx="24">
                  <c:v>47119</c:v>
                </c:pt>
                <c:pt idx="25">
                  <c:v>47150</c:v>
                </c:pt>
                <c:pt idx="26">
                  <c:v>47178</c:v>
                </c:pt>
                <c:pt idx="27">
                  <c:v>47209</c:v>
                </c:pt>
                <c:pt idx="28">
                  <c:v>47239</c:v>
                </c:pt>
                <c:pt idx="29">
                  <c:v>47270</c:v>
                </c:pt>
                <c:pt idx="30">
                  <c:v>47300</c:v>
                </c:pt>
                <c:pt idx="31">
                  <c:v>47331</c:v>
                </c:pt>
                <c:pt idx="32">
                  <c:v>47362</c:v>
                </c:pt>
                <c:pt idx="33">
                  <c:v>47392</c:v>
                </c:pt>
                <c:pt idx="34">
                  <c:v>47423</c:v>
                </c:pt>
                <c:pt idx="35">
                  <c:v>47453</c:v>
                </c:pt>
                <c:pt idx="36">
                  <c:v>47484</c:v>
                </c:pt>
                <c:pt idx="37">
                  <c:v>47515</c:v>
                </c:pt>
                <c:pt idx="38">
                  <c:v>47543</c:v>
                </c:pt>
                <c:pt idx="39">
                  <c:v>47574</c:v>
                </c:pt>
                <c:pt idx="40">
                  <c:v>47604</c:v>
                </c:pt>
                <c:pt idx="41">
                  <c:v>47635</c:v>
                </c:pt>
                <c:pt idx="42">
                  <c:v>47665</c:v>
                </c:pt>
                <c:pt idx="43">
                  <c:v>47696</c:v>
                </c:pt>
                <c:pt idx="44">
                  <c:v>47727</c:v>
                </c:pt>
                <c:pt idx="45">
                  <c:v>47757</c:v>
                </c:pt>
                <c:pt idx="46">
                  <c:v>47788</c:v>
                </c:pt>
                <c:pt idx="47">
                  <c:v>47818</c:v>
                </c:pt>
                <c:pt idx="48">
                  <c:v>47849</c:v>
                </c:pt>
                <c:pt idx="49">
                  <c:v>47880</c:v>
                </c:pt>
                <c:pt idx="50">
                  <c:v>47908</c:v>
                </c:pt>
                <c:pt idx="51">
                  <c:v>47939</c:v>
                </c:pt>
                <c:pt idx="52">
                  <c:v>47969</c:v>
                </c:pt>
                <c:pt idx="53">
                  <c:v>48000</c:v>
                </c:pt>
                <c:pt idx="54">
                  <c:v>48030</c:v>
                </c:pt>
                <c:pt idx="55">
                  <c:v>48061</c:v>
                </c:pt>
                <c:pt idx="56">
                  <c:v>48092</c:v>
                </c:pt>
                <c:pt idx="57">
                  <c:v>48122</c:v>
                </c:pt>
                <c:pt idx="58">
                  <c:v>48153</c:v>
                </c:pt>
                <c:pt idx="59">
                  <c:v>48183</c:v>
                </c:pt>
                <c:pt idx="60">
                  <c:v>48214</c:v>
                </c:pt>
              </c:numCache>
            </c:numRef>
          </c:cat>
          <c:val>
            <c:numRef>
              <c:f>'Cash Flow Model'!$I$2:$I$62</c:f>
              <c:numCache>
                <c:formatCode>"$"#,##0</c:formatCode>
                <c:ptCount val="61"/>
                <c:pt idx="0">
                  <c:v>-7000000</c:v>
                </c:pt>
                <c:pt idx="1">
                  <c:v>884624.55029166432</c:v>
                </c:pt>
                <c:pt idx="2">
                  <c:v>858764.46044532198</c:v>
                </c:pt>
                <c:pt idx="3">
                  <c:v>833647.72986662539</c:v>
                </c:pt>
                <c:pt idx="4">
                  <c:v>809252.990377657</c:v>
                </c:pt>
                <c:pt idx="5">
                  <c:v>785559.48803785082</c:v>
                </c:pt>
                <c:pt idx="6">
                  <c:v>762547.06548747839</c:v>
                </c:pt>
                <c:pt idx="7">
                  <c:v>740196.1447986787</c:v>
                </c:pt>
                <c:pt idx="8">
                  <c:v>718487.71081944392</c:v>
                </c:pt>
                <c:pt idx="9">
                  <c:v>697403.29499638837</c:v>
                </c:pt>
                <c:pt idx="10">
                  <c:v>676924.95966253814</c:v>
                </c:pt>
                <c:pt idx="11">
                  <c:v>657035.28277677624</c:v>
                </c:pt>
                <c:pt idx="12">
                  <c:v>637717.34310195828</c:v>
                </c:pt>
                <c:pt idx="13">
                  <c:v>618954.7058090897</c:v>
                </c:pt>
                <c:pt idx="14">
                  <c:v>600731.4084953164</c:v>
                </c:pt>
                <c:pt idx="15">
                  <c:v>583031.94760383503</c:v>
                </c:pt>
                <c:pt idx="16">
                  <c:v>565841.26523416815</c:v>
                </c:pt>
                <c:pt idx="17">
                  <c:v>549144.73633158428</c:v>
                </c:pt>
                <c:pt idx="18">
                  <c:v>532928.15624476236</c:v>
                </c:pt>
                <c:pt idx="19">
                  <c:v>517177.72864111781</c:v>
                </c:pt>
                <c:pt idx="20">
                  <c:v>501880.05376950605</c:v>
                </c:pt>
                <c:pt idx="21">
                  <c:v>487022.1170603222</c:v>
                </c:pt>
                <c:pt idx="22">
                  <c:v>472591.2780532919</c:v>
                </c:pt>
                <c:pt idx="23">
                  <c:v>458575.25964354177</c:v>
                </c:pt>
                <c:pt idx="24">
                  <c:v>444962.13763679302</c:v>
                </c:pt>
                <c:pt idx="25">
                  <c:v>431740.33060479641</c:v>
                </c:pt>
                <c:pt idx="26">
                  <c:v>418898.59003237728</c:v>
                </c:pt>
                <c:pt idx="27">
                  <c:v>406425.99074770825</c:v>
                </c:pt>
                <c:pt idx="28">
                  <c:v>394311.92162766657</c:v>
                </c:pt>
                <c:pt idx="29">
                  <c:v>382546.07657037152</c:v>
                </c:pt>
                <c:pt idx="30">
                  <c:v>371118.44572721841</c:v>
                </c:pt>
                <c:pt idx="31">
                  <c:v>360019.30698695313</c:v>
                </c:pt>
                <c:pt idx="32">
                  <c:v>349239.21770453919</c:v>
                </c:pt>
                <c:pt idx="33">
                  <c:v>338769.00666778267</c:v>
                </c:pt>
                <c:pt idx="34">
                  <c:v>328599.76629488025</c:v>
                </c:pt>
                <c:pt idx="35">
                  <c:v>318722.84505625127</c:v>
                </c:pt>
                <c:pt idx="36">
                  <c:v>309129.84011420771</c:v>
                </c:pt>
                <c:pt idx="37">
                  <c:v>299812.59017420048</c:v>
                </c:pt>
                <c:pt idx="38">
                  <c:v>290763.16854155925</c:v>
                </c:pt>
                <c:pt idx="39">
                  <c:v>281973.87637781864</c:v>
                </c:pt>
                <c:pt idx="40">
                  <c:v>273437.23615089606</c:v>
                </c:pt>
                <c:pt idx="41">
                  <c:v>265145.9852735445</c:v>
                </c:pt>
                <c:pt idx="42">
                  <c:v>257093.06992467231</c:v>
                </c:pt>
                <c:pt idx="43">
                  <c:v>249271.63904827181</c:v>
                </c:pt>
                <c:pt idx="44">
                  <c:v>241675.03852485021</c:v>
                </c:pt>
                <c:pt idx="45">
                  <c:v>234296.80551040653</c:v>
                </c:pt>
                <c:pt idx="46">
                  <c:v>227130.6629381355</c:v>
                </c:pt>
                <c:pt idx="47">
                  <c:v>220170.51417818386</c:v>
                </c:pt>
                <c:pt idx="48">
                  <c:v>213410.43785091303</c:v>
                </c:pt>
                <c:pt idx="49">
                  <c:v>206844.68278925758</c:v>
                </c:pt>
                <c:pt idx="50">
                  <c:v>200467.66314589235</c:v>
                </c:pt>
                <c:pt idx="51">
                  <c:v>194273.95364104642</c:v>
                </c:pt>
                <c:pt idx="52">
                  <c:v>188258.28494692047</c:v>
                </c:pt>
                <c:pt idx="53">
                  <c:v>182415.53920478083</c:v>
                </c:pt>
                <c:pt idx="54">
                  <c:v>176740.74567091762</c:v>
                </c:pt>
                <c:pt idx="55">
                  <c:v>171229.07648776</c:v>
                </c:pt>
                <c:pt idx="56">
                  <c:v>165875.84257655393</c:v>
                </c:pt>
                <c:pt idx="57">
                  <c:v>160676.48964810607</c:v>
                </c:pt>
                <c:pt idx="58">
                  <c:v>155626.59432820047</c:v>
                </c:pt>
                <c:pt idx="59">
                  <c:v>150721.86039439196</c:v>
                </c:pt>
                <c:pt idx="60">
                  <c:v>145958.11512097478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BE-4C4E-BC58-62C8F1BC6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3896"/>
        <c:axId val="6375944"/>
      </c:lineChart>
      <c:dateAx>
        <c:axId val="6373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5944"/>
        <c:crosses val="autoZero"/>
        <c:auto val="1"/>
        <c:lblOffset val="100"/>
        <c:baseTimeUnit val="months"/>
      </c:dateAx>
      <c:valAx>
        <c:axId val="6375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Cash Flow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3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3920308061275732"/>
          <c:y val="0.21880667715136309"/>
          <c:w val="0.2488050104848005"/>
          <c:h val="7.52513628104179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63</xdr:row>
      <xdr:rowOff>161925</xdr:rowOff>
    </xdr:from>
    <xdr:to>
      <xdr:col>7</xdr:col>
      <xdr:colOff>619125</xdr:colOff>
      <xdr:row>81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FBFCB1-D2CF-2630-770F-30E80C7FAD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workbookViewId="0">
      <selection activeCell="A21" sqref="A21"/>
    </sheetView>
  </sheetViews>
  <sheetFormatPr defaultRowHeight="15"/>
  <cols>
    <col min="1" max="1" width="188.7109375" customWidth="1"/>
  </cols>
  <sheetData>
    <row r="1" spans="1:1" ht="23.25">
      <c r="A1" s="2" t="s">
        <v>0</v>
      </c>
    </row>
    <row r="3" spans="1:1">
      <c r="A3" s="1" t="s">
        <v>1</v>
      </c>
    </row>
    <row r="4" spans="1:1">
      <c r="A4" t="s">
        <v>2</v>
      </c>
    </row>
    <row r="6" spans="1:1">
      <c r="A6" s="1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2" spans="1:1">
      <c r="A12" s="1" t="s">
        <v>8</v>
      </c>
    </row>
    <row r="14" spans="1:1">
      <c r="A14" t="s">
        <v>9</v>
      </c>
    </row>
    <row r="15" spans="1:1">
      <c r="A15" t="s">
        <v>10</v>
      </c>
    </row>
    <row r="16" spans="1:1">
      <c r="A16" t="s">
        <v>11</v>
      </c>
    </row>
    <row r="17" spans="1:1">
      <c r="A17" t="s">
        <v>12</v>
      </c>
    </row>
    <row r="18" spans="1:1">
      <c r="A18" t="s">
        <v>13</v>
      </c>
    </row>
    <row r="19" spans="1:1">
      <c r="A1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30238-8BA5-429B-9EC5-A48820059175}">
  <dimension ref="A1:B9"/>
  <sheetViews>
    <sheetView tabSelected="1" workbookViewId="0">
      <selection activeCell="B4" sqref="B4"/>
    </sheetView>
  </sheetViews>
  <sheetFormatPr defaultRowHeight="15"/>
  <cols>
    <col min="1" max="1" width="37.85546875" customWidth="1"/>
    <col min="2" max="2" width="13.7109375" bestFit="1" customWidth="1"/>
  </cols>
  <sheetData>
    <row r="1" spans="1:2" ht="15.75">
      <c r="A1" s="3" t="s">
        <v>15</v>
      </c>
    </row>
    <row r="3" spans="1:2">
      <c r="A3" s="4" t="s">
        <v>16</v>
      </c>
      <c r="B3" s="5">
        <v>7000000</v>
      </c>
    </row>
    <row r="4" spans="1:2">
      <c r="A4" s="4" t="s">
        <v>17</v>
      </c>
      <c r="B4" s="5">
        <v>15000</v>
      </c>
    </row>
    <row r="5" spans="1:2">
      <c r="A5" s="4" t="s">
        <v>18</v>
      </c>
      <c r="B5" s="5">
        <v>75</v>
      </c>
    </row>
    <row r="6" spans="1:2">
      <c r="A6" s="4" t="s">
        <v>19</v>
      </c>
      <c r="B6" s="6">
        <v>0.1875</v>
      </c>
    </row>
    <row r="7" spans="1:2">
      <c r="A7" s="4" t="s">
        <v>20</v>
      </c>
      <c r="B7" s="7">
        <v>500</v>
      </c>
    </row>
    <row r="8" spans="1:2">
      <c r="A8" s="4" t="s">
        <v>21</v>
      </c>
      <c r="B8" s="7">
        <v>0.35</v>
      </c>
    </row>
    <row r="9" spans="1:2">
      <c r="A9" s="4" t="s">
        <v>22</v>
      </c>
      <c r="B9" s="6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2BF55-3863-4F1A-B6F5-B2BDA14BD882}">
  <dimension ref="A1:I66"/>
  <sheetViews>
    <sheetView workbookViewId="0">
      <pane ySplit="1" topLeftCell="A61" activePane="bottomLeft" state="frozen"/>
      <selection pane="bottomLeft" activeCell="B67" sqref="B67"/>
    </sheetView>
  </sheetViews>
  <sheetFormatPr defaultRowHeight="15"/>
  <cols>
    <col min="2" max="2" width="12.140625" customWidth="1"/>
    <col min="3" max="3" width="19.140625" customWidth="1"/>
    <col min="4" max="4" width="23" customWidth="1"/>
    <col min="5" max="5" width="15" customWidth="1"/>
    <col min="6" max="6" width="11.5703125" customWidth="1"/>
    <col min="7" max="7" width="15.5703125" customWidth="1"/>
    <col min="8" max="8" width="9.85546875" customWidth="1"/>
    <col min="9" max="9" width="16.42578125" customWidth="1"/>
  </cols>
  <sheetData>
    <row r="1" spans="1:9">
      <c r="A1" s="4" t="s">
        <v>23</v>
      </c>
      <c r="B1" s="4" t="s">
        <v>24</v>
      </c>
      <c r="C1" s="4" t="s">
        <v>25</v>
      </c>
      <c r="D1" s="4" t="s">
        <v>26</v>
      </c>
      <c r="E1" s="9" t="s">
        <v>27</v>
      </c>
      <c r="F1" s="9" t="s">
        <v>28</v>
      </c>
      <c r="G1" s="9" t="s">
        <v>29</v>
      </c>
      <c r="H1" s="9" t="s">
        <v>30</v>
      </c>
      <c r="I1" s="9" t="s">
        <v>31</v>
      </c>
    </row>
    <row r="2" spans="1:9">
      <c r="A2" s="7">
        <v>0</v>
      </c>
      <c r="B2" s="10">
        <v>46388</v>
      </c>
      <c r="C2" s="7">
        <f>Inputs!$B$7*EXP(-Inputs!$B$8*(A2/12))</f>
        <v>500</v>
      </c>
      <c r="D2" s="8">
        <f>C2*30.4</f>
        <v>15200</v>
      </c>
      <c r="E2" s="11">
        <f>D2*Inputs!$B$5</f>
        <v>1140000</v>
      </c>
      <c r="F2" s="11">
        <f>E2*Inputs!$B$6</f>
        <v>213750</v>
      </c>
      <c r="G2" s="11">
        <f>E2-F2</f>
        <v>926250</v>
      </c>
      <c r="H2" s="11">
        <f>IF(A2=0,0,Inputs!$B$4)</f>
        <v>0</v>
      </c>
      <c r="I2" s="11">
        <f>IF(A2=0,-Inputs!$B$3,G2-H2)</f>
        <v>-7000000</v>
      </c>
    </row>
    <row r="3" spans="1:9">
      <c r="A3" s="7">
        <v>1</v>
      </c>
      <c r="B3" s="10">
        <v>46419</v>
      </c>
      <c r="C3" s="7">
        <f>Inputs!$B$7*EXP(-Inputs!$B$8*(A3/12))</f>
        <v>485.62728760683643</v>
      </c>
      <c r="D3" s="8">
        <f t="shared" ref="D3:D62" si="0">C3*30.4</f>
        <v>14763.069543247826</v>
      </c>
      <c r="E3" s="11">
        <f>D3*Inputs!$B$5</f>
        <v>1107230.2157435869</v>
      </c>
      <c r="F3" s="11">
        <f>E3*Inputs!$B$6</f>
        <v>207605.66545192254</v>
      </c>
      <c r="G3" s="11">
        <f t="shared" ref="G3:G62" si="1">E3-F3</f>
        <v>899624.55029166432</v>
      </c>
      <c r="H3" s="11">
        <f>IF(A3=0,0,Inputs!$B$4)</f>
        <v>15000</v>
      </c>
      <c r="I3" s="11">
        <f>IF(A3=0,-Inputs!$B$3,G3-H3)</f>
        <v>884624.55029166432</v>
      </c>
    </row>
    <row r="4" spans="1:9">
      <c r="A4" s="7">
        <v>2</v>
      </c>
      <c r="B4" s="10">
        <v>46447</v>
      </c>
      <c r="C4" s="7">
        <f>Inputs!$B$7*EXP(-Inputs!$B$8*(A4/12))</f>
        <v>471.66772493674608</v>
      </c>
      <c r="D4" s="8">
        <f t="shared" si="0"/>
        <v>14338.69883807708</v>
      </c>
      <c r="E4" s="11">
        <f>D4*Inputs!$B$5</f>
        <v>1075402.4128557809</v>
      </c>
      <c r="F4" s="11">
        <f>E4*Inputs!$B$6</f>
        <v>201637.95241045894</v>
      </c>
      <c r="G4" s="11">
        <f t="shared" si="1"/>
        <v>873764.46044532198</v>
      </c>
      <c r="H4" s="11">
        <f>IF(A4=0,0,Inputs!$B$4)</f>
        <v>15000</v>
      </c>
      <c r="I4" s="11">
        <f>IF(A4=0,-Inputs!$B$3,G4-H4)</f>
        <v>858764.46044532198</v>
      </c>
    </row>
    <row r="5" spans="1:9">
      <c r="A5" s="7">
        <v>3</v>
      </c>
      <c r="B5" s="10">
        <v>46478</v>
      </c>
      <c r="C5" s="7">
        <f>Inputs!$B$7*EXP(-Inputs!$B$8*(A5/12))</f>
        <v>458.10943582543882</v>
      </c>
      <c r="D5" s="8">
        <f t="shared" si="0"/>
        <v>13926.526849093339</v>
      </c>
      <c r="E5" s="11">
        <f>D5*Inputs!$B$5</f>
        <v>1044489.5136820005</v>
      </c>
      <c r="F5" s="11">
        <f>E5*Inputs!$B$6</f>
        <v>195841.78381537509</v>
      </c>
      <c r="G5" s="11">
        <f t="shared" si="1"/>
        <v>848647.72986662539</v>
      </c>
      <c r="H5" s="11">
        <f>IF(A5=0,0,Inputs!$B$4)</f>
        <v>15000</v>
      </c>
      <c r="I5" s="11">
        <f>IF(A5=0,-Inputs!$B$3,G5-H5)</f>
        <v>833647.72986662539</v>
      </c>
    </row>
    <row r="6" spans="1:9">
      <c r="A6" s="7">
        <v>4</v>
      </c>
      <c r="B6" s="10">
        <v>46508</v>
      </c>
      <c r="C6" s="7">
        <f>Inputs!$B$7*EXP(-Inputs!$B$8*(A6/12))</f>
        <v>444.94088549401192</v>
      </c>
      <c r="D6" s="8">
        <f t="shared" si="0"/>
        <v>13526.202919017962</v>
      </c>
      <c r="E6" s="11">
        <f>D6*Inputs!$B$5</f>
        <v>1014465.2189263471</v>
      </c>
      <c r="F6" s="11">
        <f>E6*Inputs!$B$6</f>
        <v>190212.22854869009</v>
      </c>
      <c r="G6" s="11">
        <f t="shared" si="1"/>
        <v>824252.990377657</v>
      </c>
      <c r="H6" s="11">
        <f>IF(A6=0,0,Inputs!$B$4)</f>
        <v>15000</v>
      </c>
      <c r="I6" s="11">
        <f>IF(A6=0,-Inputs!$B$3,G6-H6)</f>
        <v>809252.990377657</v>
      </c>
    </row>
    <row r="7" spans="1:9">
      <c r="A7" s="7">
        <v>5</v>
      </c>
      <c r="B7" s="10">
        <v>46539</v>
      </c>
      <c r="C7" s="7">
        <f>Inputs!$B$7*EXP(-Inputs!$B$8*(A7/12))</f>
        <v>432.15087073568196</v>
      </c>
      <c r="D7" s="8">
        <f t="shared" si="0"/>
        <v>13137.38647036473</v>
      </c>
      <c r="E7" s="11">
        <f>D7*Inputs!$B$5</f>
        <v>985303.98527735483</v>
      </c>
      <c r="F7" s="11">
        <f>E7*Inputs!$B$6</f>
        <v>184744.49723950404</v>
      </c>
      <c r="G7" s="11">
        <f t="shared" si="1"/>
        <v>800559.48803785082</v>
      </c>
      <c r="H7" s="11">
        <f>IF(A7=0,0,Inputs!$B$4)</f>
        <v>15000</v>
      </c>
      <c r="I7" s="11">
        <f>IF(A7=0,-Inputs!$B$3,G7-H7)</f>
        <v>785559.48803785082</v>
      </c>
    </row>
    <row r="8" spans="1:9">
      <c r="A8" s="7">
        <v>6</v>
      </c>
      <c r="B8" s="10">
        <v>46569</v>
      </c>
      <c r="C8" s="7">
        <f>Inputs!$B$7*EXP(-Inputs!$B$8*(A8/12))</f>
        <v>419.72851038460368</v>
      </c>
      <c r="D8" s="8">
        <f t="shared" si="0"/>
        <v>12759.746715691952</v>
      </c>
      <c r="E8" s="11">
        <f>D8*Inputs!$B$5</f>
        <v>956981.00367689645</v>
      </c>
      <c r="F8" s="11">
        <f>E8*Inputs!$B$6</f>
        <v>179433.93818941808</v>
      </c>
      <c r="G8" s="11">
        <f t="shared" si="1"/>
        <v>777547.06548747839</v>
      </c>
      <c r="H8" s="11">
        <f>IF(A8=0,0,Inputs!$B$4)</f>
        <v>15000</v>
      </c>
      <c r="I8" s="11">
        <f>IF(A8=0,-Inputs!$B$3,G8-H8)</f>
        <v>762547.06548747839</v>
      </c>
    </row>
    <row r="9" spans="1:9">
      <c r="A9" s="7">
        <v>7</v>
      </c>
      <c r="B9" s="10">
        <v>46600</v>
      </c>
      <c r="C9" s="7">
        <f>Inputs!$B$7*EXP(-Inputs!$B$8*(A9/12))</f>
        <v>407.66323605866597</v>
      </c>
      <c r="D9" s="8">
        <f t="shared" si="0"/>
        <v>12392.962376183445</v>
      </c>
      <c r="E9" s="11">
        <f>D9*Inputs!$B$5</f>
        <v>929472.17821375839</v>
      </c>
      <c r="F9" s="11">
        <f>E9*Inputs!$B$6</f>
        <v>174276.0334150797</v>
      </c>
      <c r="G9" s="11">
        <f t="shared" si="1"/>
        <v>755196.1447986787</v>
      </c>
      <c r="H9" s="11">
        <f>IF(A9=0,0,Inputs!$B$4)</f>
        <v>15000</v>
      </c>
      <c r="I9" s="11">
        <f>IF(A9=0,-Inputs!$B$3,G9-H9)</f>
        <v>740196.1447986787</v>
      </c>
    </row>
    <row r="10" spans="1:9">
      <c r="A10" s="7">
        <v>8</v>
      </c>
      <c r="B10" s="10">
        <v>46631</v>
      </c>
      <c r="C10" s="7">
        <f>Inputs!$B$7*EXP(-Inputs!$B$8*(A10/12))</f>
        <v>395.94478316839081</v>
      </c>
      <c r="D10" s="8">
        <f t="shared" si="0"/>
        <v>12036.721408319079</v>
      </c>
      <c r="E10" s="11">
        <f>D10*Inputs!$B$5</f>
        <v>902754.10562393093</v>
      </c>
      <c r="F10" s="11">
        <f>E10*Inputs!$B$6</f>
        <v>169266.39480448706</v>
      </c>
      <c r="G10" s="11">
        <f t="shared" si="1"/>
        <v>733487.71081944392</v>
      </c>
      <c r="H10" s="11">
        <f>IF(A10=0,0,Inputs!$B$4)</f>
        <v>15000</v>
      </c>
      <c r="I10" s="11">
        <f>IF(A10=0,-Inputs!$B$3,G10-H10)</f>
        <v>718487.71081944392</v>
      </c>
    </row>
    <row r="11" spans="1:9">
      <c r="A11" s="7">
        <v>9</v>
      </c>
      <c r="B11" s="10">
        <v>46661</v>
      </c>
      <c r="C11" s="7">
        <f>Inputs!$B$7*EXP(-Inputs!$B$8*(A11/12))</f>
        <v>384.56318218428527</v>
      </c>
      <c r="D11" s="8">
        <f t="shared" si="0"/>
        <v>11690.720738402271</v>
      </c>
      <c r="E11" s="11">
        <f>D11*Inputs!$B$5</f>
        <v>876804.05538017035</v>
      </c>
      <c r="F11" s="11">
        <f>E11*Inputs!$B$6</f>
        <v>164400.76038378195</v>
      </c>
      <c r="G11" s="11">
        <f t="shared" si="1"/>
        <v>712403.29499638837</v>
      </c>
      <c r="H11" s="11">
        <f>IF(A11=0,0,Inputs!$B$4)</f>
        <v>15000</v>
      </c>
      <c r="I11" s="11">
        <f>IF(A11=0,-Inputs!$B$3,G11-H11)</f>
        <v>697403.29499638837</v>
      </c>
    </row>
    <row r="12" spans="1:9">
      <c r="A12" s="7">
        <v>10</v>
      </c>
      <c r="B12" s="10">
        <v>46692</v>
      </c>
      <c r="C12" s="7">
        <f>Inputs!$B$7*EXP(-Inputs!$B$8*(A12/12))</f>
        <v>373.50875015521626</v>
      </c>
      <c r="D12" s="8">
        <f t="shared" si="0"/>
        <v>11354.666004718574</v>
      </c>
      <c r="E12" s="11">
        <f>D12*Inputs!$B$5</f>
        <v>851599.9503538931</v>
      </c>
      <c r="F12" s="11">
        <f>E12*Inputs!$B$6</f>
        <v>159674.99069135496</v>
      </c>
      <c r="G12" s="11">
        <f t="shared" si="1"/>
        <v>691924.95966253814</v>
      </c>
      <c r="H12" s="11">
        <f>IF(A12=0,0,Inputs!$B$4)</f>
        <v>15000</v>
      </c>
      <c r="I12" s="11">
        <f>IF(A12=0,-Inputs!$B$3,G12-H12)</f>
        <v>676924.95966253814</v>
      </c>
    </row>
    <row r="13" spans="1:9">
      <c r="A13" s="7">
        <v>11</v>
      </c>
      <c r="B13" s="10">
        <v>46722</v>
      </c>
      <c r="C13" s="7">
        <f>Inputs!$B$7*EXP(-Inputs!$B$8*(A13/12))</f>
        <v>362.77208247059446</v>
      </c>
      <c r="D13" s="8">
        <f t="shared" si="0"/>
        <v>11028.271307106072</v>
      </c>
      <c r="E13" s="11">
        <f>D13*Inputs!$B$5</f>
        <v>827120.34803295531</v>
      </c>
      <c r="F13" s="11">
        <f>E13*Inputs!$B$6</f>
        <v>155085.06525617914</v>
      </c>
      <c r="G13" s="11">
        <f t="shared" si="1"/>
        <v>672035.28277677624</v>
      </c>
      <c r="H13" s="11">
        <f>IF(A13=0,0,Inputs!$B$4)</f>
        <v>15000</v>
      </c>
      <c r="I13" s="11">
        <f>IF(A13=0,-Inputs!$B$3,G13-H13)</f>
        <v>657035.28277677624</v>
      </c>
    </row>
    <row r="14" spans="1:9">
      <c r="A14" s="7">
        <v>12</v>
      </c>
      <c r="B14" s="10">
        <v>46753</v>
      </c>
      <c r="C14" s="7">
        <f>Inputs!$B$7*EXP(-Inputs!$B$8*(A14/12))</f>
        <v>352.3440448593567</v>
      </c>
      <c r="D14" s="8">
        <f t="shared" si="0"/>
        <v>10711.258963724444</v>
      </c>
      <c r="E14" s="11">
        <f>D14*Inputs!$B$5</f>
        <v>803344.42227933323</v>
      </c>
      <c r="F14" s="11">
        <f>E14*Inputs!$B$6</f>
        <v>150627.07917737498</v>
      </c>
      <c r="G14" s="11">
        <f t="shared" si="1"/>
        <v>652717.34310195828</v>
      </c>
      <c r="H14" s="11">
        <f>IF(A14=0,0,Inputs!$B$4)</f>
        <v>15000</v>
      </c>
      <c r="I14" s="11">
        <f>IF(A14=0,-Inputs!$B$3,G14-H14)</f>
        <v>637717.34310195828</v>
      </c>
    </row>
    <row r="15" spans="1:9">
      <c r="A15" s="7">
        <v>13</v>
      </c>
      <c r="B15" s="10">
        <v>46784</v>
      </c>
      <c r="C15" s="7">
        <f>Inputs!$B$7*EXP(-Inputs!$B$8*(A15/12))</f>
        <v>342.21576561894187</v>
      </c>
      <c r="D15" s="8">
        <f t="shared" si="0"/>
        <v>10403.359274815832</v>
      </c>
      <c r="E15" s="11">
        <f>D15*Inputs!$B$5</f>
        <v>780251.94561118737</v>
      </c>
      <c r="F15" s="11">
        <f>E15*Inputs!$B$6</f>
        <v>146297.23980209764</v>
      </c>
      <c r="G15" s="11">
        <f t="shared" si="1"/>
        <v>633954.7058090897</v>
      </c>
      <c r="H15" s="11">
        <f>IF(A15=0,0,Inputs!$B$4)</f>
        <v>15000</v>
      </c>
      <c r="I15" s="11">
        <f>IF(A15=0,-Inputs!$B$3,G15-H15)</f>
        <v>618954.7058090897</v>
      </c>
    </row>
    <row r="16" spans="1:9">
      <c r="A16" s="7">
        <v>14</v>
      </c>
      <c r="B16" s="10">
        <v>46813</v>
      </c>
      <c r="C16" s="7">
        <f>Inputs!$B$7*EXP(-Inputs!$B$8*(A16/12))</f>
        <v>332.37862806764718</v>
      </c>
      <c r="D16" s="8">
        <f t="shared" si="0"/>
        <v>10104.310293256474</v>
      </c>
      <c r="E16" s="11">
        <f>D16*Inputs!$B$5</f>
        <v>757823.27199423558</v>
      </c>
      <c r="F16" s="11">
        <f>E16*Inputs!$B$6</f>
        <v>142091.86349891918</v>
      </c>
      <c r="G16" s="11">
        <f t="shared" si="1"/>
        <v>615731.4084953164</v>
      </c>
      <c r="H16" s="11">
        <f>IF(A16=0,0,Inputs!$B$4)</f>
        <v>15000</v>
      </c>
      <c r="I16" s="11">
        <f>IF(A16=0,-Inputs!$B$3,G16-H16)</f>
        <v>600731.4084953164</v>
      </c>
    </row>
    <row r="17" spans="1:9">
      <c r="A17" s="7">
        <v>15</v>
      </c>
      <c r="B17" s="10">
        <v>46844</v>
      </c>
      <c r="C17" s="7">
        <f>Inputs!$B$7*EXP(-Inputs!$B$8*(A17/12))</f>
        <v>322.82426321394604</v>
      </c>
      <c r="D17" s="8">
        <f t="shared" si="0"/>
        <v>9813.8576017039595</v>
      </c>
      <c r="E17" s="11">
        <f>D17*Inputs!$B$5</f>
        <v>736039.32012779696</v>
      </c>
      <c r="F17" s="11">
        <f>E17*Inputs!$B$6</f>
        <v>138007.37252396194</v>
      </c>
      <c r="G17" s="11">
        <f t="shared" si="1"/>
        <v>598031.94760383503</v>
      </c>
      <c r="H17" s="11">
        <f>IF(A17=0,0,Inputs!$B$4)</f>
        <v>15000</v>
      </c>
      <c r="I17" s="11">
        <f>IF(A17=0,-Inputs!$B$3,G17-H17)</f>
        <v>583031.94760383503</v>
      </c>
    </row>
    <row r="18" spans="1:9">
      <c r="A18" s="7">
        <v>16</v>
      </c>
      <c r="B18" s="10">
        <v>46874</v>
      </c>
      <c r="C18" s="7">
        <f>Inputs!$B$7*EXP(-Inputs!$B$8*(A18/12))</f>
        <v>313.54454263652809</v>
      </c>
      <c r="D18" s="8">
        <f t="shared" si="0"/>
        <v>9531.7540961504528</v>
      </c>
      <c r="E18" s="11">
        <f>D18*Inputs!$B$5</f>
        <v>714881.55721128394</v>
      </c>
      <c r="F18" s="11">
        <f>E18*Inputs!$B$6</f>
        <v>134040.29197711573</v>
      </c>
      <c r="G18" s="11">
        <f t="shared" si="1"/>
        <v>580841.26523416815</v>
      </c>
      <c r="H18" s="11">
        <f>IF(A18=0,0,Inputs!$B$4)</f>
        <v>15000</v>
      </c>
      <c r="I18" s="11">
        <f>IF(A18=0,-Inputs!$B$3,G18-H18)</f>
        <v>565841.26523416815</v>
      </c>
    </row>
    <row r="19" spans="1:9">
      <c r="A19" s="7">
        <v>17</v>
      </c>
      <c r="B19" s="10">
        <v>46905</v>
      </c>
      <c r="C19" s="7">
        <f>Inputs!$B$7*EXP(-Inputs!$B$8*(A19/12))</f>
        <v>304.53157156900642</v>
      </c>
      <c r="D19" s="8">
        <f t="shared" si="0"/>
        <v>9257.7597756977939</v>
      </c>
      <c r="E19" s="11">
        <f>D19*Inputs!$B$5</f>
        <v>694331.98317733454</v>
      </c>
      <c r="F19" s="11">
        <f>E19*Inputs!$B$6</f>
        <v>130187.24684575023</v>
      </c>
      <c r="G19" s="11">
        <f t="shared" si="1"/>
        <v>564144.73633158428</v>
      </c>
      <c r="H19" s="11">
        <f>IF(A19=0,0,Inputs!$B$4)</f>
        <v>15000</v>
      </c>
      <c r="I19" s="11">
        <f>IF(A19=0,-Inputs!$B$3,G19-H19)</f>
        <v>549144.73633158428</v>
      </c>
    </row>
    <row r="20" spans="1:9">
      <c r="A20" s="7">
        <v>18</v>
      </c>
      <c r="B20" s="10">
        <v>46935</v>
      </c>
      <c r="C20" s="7">
        <f>Inputs!$B$7*EXP(-Inputs!$B$8*(A20/12))</f>
        <v>295.77768218340753</v>
      </c>
      <c r="D20" s="8">
        <f t="shared" si="0"/>
        <v>8991.6415383755884</v>
      </c>
      <c r="E20" s="11">
        <f>D20*Inputs!$B$5</f>
        <v>674373.11537816911</v>
      </c>
      <c r="F20" s="11">
        <f>E20*Inputs!$B$6</f>
        <v>126444.95913340671</v>
      </c>
      <c r="G20" s="11">
        <f t="shared" si="1"/>
        <v>547928.15624476236</v>
      </c>
      <c r="H20" s="11">
        <f>IF(A20=0,0,Inputs!$B$4)</f>
        <v>15000</v>
      </c>
      <c r="I20" s="11">
        <f>IF(A20=0,-Inputs!$B$3,G20-H20)</f>
        <v>532928.15624476236</v>
      </c>
    </row>
    <row r="21" spans="1:9">
      <c r="A21" s="7">
        <v>19</v>
      </c>
      <c r="B21" s="10">
        <v>46966</v>
      </c>
      <c r="C21" s="7">
        <f>Inputs!$B$7*EXP(-Inputs!$B$8*(A21/12))</f>
        <v>287.27542706673029</v>
      </c>
      <c r="D21" s="8">
        <f t="shared" si="0"/>
        <v>8733.1729828286007</v>
      </c>
      <c r="E21" s="11">
        <f>D21*Inputs!$B$5</f>
        <v>654987.973712145</v>
      </c>
      <c r="F21" s="11">
        <f>E21*Inputs!$B$6</f>
        <v>122810.2450710272</v>
      </c>
      <c r="G21" s="11">
        <f t="shared" si="1"/>
        <v>532177.72864111781</v>
      </c>
      <c r="H21" s="11">
        <f>IF(A21=0,0,Inputs!$B$4)</f>
        <v>15000</v>
      </c>
      <c r="I21" s="11">
        <f>IF(A21=0,-Inputs!$B$3,G21-H21)</f>
        <v>517177.72864111781</v>
      </c>
    </row>
    <row r="22" spans="1:9">
      <c r="A22" s="7">
        <v>20</v>
      </c>
      <c r="B22" s="10">
        <v>46997</v>
      </c>
      <c r="C22" s="7">
        <f>Inputs!$B$7*EXP(-Inputs!$B$8*(A22/12))</f>
        <v>279.01757288502353</v>
      </c>
      <c r="D22" s="8">
        <f t="shared" si="0"/>
        <v>8482.1342157047147</v>
      </c>
      <c r="E22" s="11">
        <f>D22*Inputs!$B$5</f>
        <v>636160.06617785362</v>
      </c>
      <c r="F22" s="11">
        <f>E22*Inputs!$B$6</f>
        <v>119280.01240834755</v>
      </c>
      <c r="G22" s="11">
        <f t="shared" si="1"/>
        <v>516880.05376950605</v>
      </c>
      <c r="H22" s="11">
        <f>IF(A22=0,0,Inputs!$B$4)</f>
        <v>15000</v>
      </c>
      <c r="I22" s="11">
        <f>IF(A22=0,-Inputs!$B$3,G22-H22)</f>
        <v>501880.05376950605</v>
      </c>
    </row>
    <row r="23" spans="1:9">
      <c r="A23" s="7">
        <v>21</v>
      </c>
      <c r="B23" s="10">
        <v>47027</v>
      </c>
      <c r="C23" s="7">
        <f>Inputs!$B$7*EXP(-Inputs!$B$8*(A23/12))</f>
        <v>270.99709422959359</v>
      </c>
      <c r="D23" s="8">
        <f t="shared" si="0"/>
        <v>8238.3116645796454</v>
      </c>
      <c r="E23" s="11">
        <f>D23*Inputs!$B$5</f>
        <v>617873.37484347343</v>
      </c>
      <c r="F23" s="11">
        <f>E23*Inputs!$B$6</f>
        <v>115851.25778315126</v>
      </c>
      <c r="G23" s="11">
        <f t="shared" si="1"/>
        <v>502022.1170603222</v>
      </c>
      <c r="H23" s="11">
        <f>IF(A23=0,0,Inputs!$B$4)</f>
        <v>15000</v>
      </c>
      <c r="I23" s="11">
        <f>IF(A23=0,-Inputs!$B$3,G23-H23)</f>
        <v>487022.1170603222</v>
      </c>
    </row>
    <row r="24" spans="1:9">
      <c r="A24" s="7">
        <v>22</v>
      </c>
      <c r="B24" s="10">
        <v>47058</v>
      </c>
      <c r="C24" s="7">
        <f>Inputs!$B$7*EXP(-Inputs!$B$8*(A24/12))</f>
        <v>263.20716764010359</v>
      </c>
      <c r="D24" s="8">
        <f t="shared" si="0"/>
        <v>8001.4978962591485</v>
      </c>
      <c r="E24" s="11">
        <f>D24*Inputs!$B$5</f>
        <v>600112.34221943619</v>
      </c>
      <c r="F24" s="11">
        <f>E24*Inputs!$B$6</f>
        <v>112521.06416614429</v>
      </c>
      <c r="G24" s="11">
        <f t="shared" si="1"/>
        <v>487591.2780532919</v>
      </c>
      <c r="H24" s="11">
        <f>IF(A24=0,0,Inputs!$B$4)</f>
        <v>15000</v>
      </c>
      <c r="I24" s="11">
        <f>IF(A24=0,-Inputs!$B$3,G24-H24)</f>
        <v>472591.2780532919</v>
      </c>
    </row>
    <row r="25" spans="1:9">
      <c r="A25" s="7">
        <v>23</v>
      </c>
      <c r="B25" s="10">
        <v>47088</v>
      </c>
      <c r="C25" s="7">
        <f>Inputs!$B$7*EXP(-Inputs!$B$8*(A25/12))</f>
        <v>255.64116579948276</v>
      </c>
      <c r="D25" s="8">
        <f t="shared" si="0"/>
        <v>7771.4914403042758</v>
      </c>
      <c r="E25" s="11">
        <f>D25*Inputs!$B$5</f>
        <v>582861.85802282067</v>
      </c>
      <c r="F25" s="11">
        <f>E25*Inputs!$B$6</f>
        <v>109286.59837927888</v>
      </c>
      <c r="G25" s="11">
        <f t="shared" si="1"/>
        <v>473575.25964354177</v>
      </c>
      <c r="H25" s="11">
        <f>IF(A25=0,0,Inputs!$B$4)</f>
        <v>15000</v>
      </c>
      <c r="I25" s="11">
        <f>IF(A25=0,-Inputs!$B$3,G25-H25)</f>
        <v>458575.25964354177</v>
      </c>
    </row>
    <row r="26" spans="1:9">
      <c r="A26" s="7">
        <v>24</v>
      </c>
      <c r="B26" s="10">
        <v>47119</v>
      </c>
      <c r="C26" s="7">
        <f>Inputs!$B$7*EXP(-Inputs!$B$8*(A26/12))</f>
        <v>248.29265189570475</v>
      </c>
      <c r="D26" s="8">
        <f t="shared" si="0"/>
        <v>7548.0966176294241</v>
      </c>
      <c r="E26" s="11">
        <f>D26*Inputs!$B$5</f>
        <v>566107.2463222068</v>
      </c>
      <c r="F26" s="11">
        <f>E26*Inputs!$B$6</f>
        <v>106145.10868541378</v>
      </c>
      <c r="G26" s="11">
        <f t="shared" si="1"/>
        <v>459962.13763679302</v>
      </c>
      <c r="H26" s="11">
        <f>IF(A26=0,0,Inputs!$B$4)</f>
        <v>15000</v>
      </c>
      <c r="I26" s="11">
        <f>IF(A26=0,-Inputs!$B$3,G26-H26)</f>
        <v>444962.13763679302</v>
      </c>
    </row>
    <row r="27" spans="1:9">
      <c r="A27" s="7">
        <v>25</v>
      </c>
      <c r="B27" s="10">
        <v>47150</v>
      </c>
      <c r="C27" s="7">
        <f>Inputs!$B$7*EXP(-Inputs!$B$8*(A27/12))</f>
        <v>241.15537414563909</v>
      </c>
      <c r="D27" s="8">
        <f t="shared" si="0"/>
        <v>7331.1233740274283</v>
      </c>
      <c r="E27" s="11">
        <f>D27*Inputs!$B$5</f>
        <v>549834.25305205712</v>
      </c>
      <c r="F27" s="11">
        <f>E27*Inputs!$B$6</f>
        <v>103093.9224472607</v>
      </c>
      <c r="G27" s="11">
        <f t="shared" si="1"/>
        <v>446740.33060479641</v>
      </c>
      <c r="H27" s="11">
        <f>IF(A27=0,0,Inputs!$B$4)</f>
        <v>15000</v>
      </c>
      <c r="I27" s="11">
        <f>IF(A27=0,-Inputs!$B$3,G27-H27)</f>
        <v>431740.33060479641</v>
      </c>
    </row>
    <row r="28" spans="1:9">
      <c r="A28" s="7">
        <v>26</v>
      </c>
      <c r="B28" s="10">
        <v>47178</v>
      </c>
      <c r="C28" s="7">
        <f>Inputs!$B$7*EXP(-Inputs!$B$8*(A28/12))</f>
        <v>234.22326047631705</v>
      </c>
      <c r="D28" s="8">
        <f t="shared" si="0"/>
        <v>7120.3871184800382</v>
      </c>
      <c r="E28" s="11">
        <f>D28*Inputs!$B$5</f>
        <v>534029.03388600284</v>
      </c>
      <c r="F28" s="11">
        <f>E28*Inputs!$B$6</f>
        <v>100130.44385362553</v>
      </c>
      <c r="G28" s="11">
        <f t="shared" si="1"/>
        <v>433898.59003237728</v>
      </c>
      <c r="H28" s="11">
        <f>IF(A28=0,0,Inputs!$B$4)</f>
        <v>15000</v>
      </c>
      <c r="I28" s="11">
        <f>IF(A28=0,-Inputs!$B$3,G28-H28)</f>
        <v>418898.59003237728</v>
      </c>
    </row>
    <row r="29" spans="1:9">
      <c r="A29" s="7">
        <v>27</v>
      </c>
      <c r="B29" s="10">
        <v>47209</v>
      </c>
      <c r="C29" s="7">
        <f>Inputs!$B$7*EXP(-Inputs!$B$8*(A29/12))</f>
        <v>227.49041335908677</v>
      </c>
      <c r="D29" s="8">
        <f t="shared" si="0"/>
        <v>6915.7085661162373</v>
      </c>
      <c r="E29" s="11">
        <f>D29*Inputs!$B$5</f>
        <v>518678.1424587178</v>
      </c>
      <c r="F29" s="11">
        <f>E29*Inputs!$B$6</f>
        <v>97252.151711009588</v>
      </c>
      <c r="G29" s="11">
        <f t="shared" si="1"/>
        <v>421425.99074770825</v>
      </c>
      <c r="H29" s="11">
        <f>IF(A29=0,0,Inputs!$B$4)</f>
        <v>15000</v>
      </c>
      <c r="I29" s="11">
        <f>IF(A29=0,-Inputs!$B$3,G29-H29)</f>
        <v>406425.99074770825</v>
      </c>
    </row>
    <row r="30" spans="1:9">
      <c r="A30" s="7">
        <v>28</v>
      </c>
      <c r="B30" s="10">
        <v>47239</v>
      </c>
      <c r="C30" s="7">
        <f>Inputs!$B$7*EXP(-Inputs!$B$8*(A30/12))</f>
        <v>220.95110479226264</v>
      </c>
      <c r="D30" s="8">
        <f t="shared" si="0"/>
        <v>6716.9135856847843</v>
      </c>
      <c r="E30" s="11">
        <f>D30*Inputs!$B$5</f>
        <v>503768.51892635884</v>
      </c>
      <c r="F30" s="11">
        <f>E30*Inputs!$B$6</f>
        <v>94456.597298692286</v>
      </c>
      <c r="G30" s="11">
        <f t="shared" si="1"/>
        <v>409311.92162766657</v>
      </c>
      <c r="H30" s="11">
        <f>IF(A30=0,0,Inputs!$B$4)</f>
        <v>15000</v>
      </c>
      <c r="I30" s="11">
        <f>IF(A30=0,-Inputs!$B$3,G30-H30)</f>
        <v>394311.92162766657</v>
      </c>
    </row>
    <row r="31" spans="1:9">
      <c r="A31" s="7">
        <v>29</v>
      </c>
      <c r="B31" s="10">
        <v>47270</v>
      </c>
      <c r="C31" s="7">
        <f>Inputs!$B$7*EXP(-Inputs!$B$8*(A31/12))</f>
        <v>214.59977142800082</v>
      </c>
      <c r="D31" s="8">
        <f t="shared" si="0"/>
        <v>6523.8330514112249</v>
      </c>
      <c r="E31" s="11">
        <f>D31*Inputs!$B$5</f>
        <v>489287.47885584185</v>
      </c>
      <c r="F31" s="11">
        <f>E31*Inputs!$B$6</f>
        <v>91741.402285470351</v>
      </c>
      <c r="G31" s="11">
        <f t="shared" si="1"/>
        <v>397546.07657037152</v>
      </c>
      <c r="H31" s="11">
        <f>IF(A31=0,0,Inputs!$B$4)</f>
        <v>15000</v>
      </c>
      <c r="I31" s="11">
        <f>IF(A31=0,-Inputs!$B$3,G31-H31)</f>
        <v>382546.07657037152</v>
      </c>
    </row>
    <row r="32" spans="1:9">
      <c r="A32" s="7">
        <v>30</v>
      </c>
      <c r="B32" s="10">
        <v>47300</v>
      </c>
      <c r="C32" s="7">
        <f>Inputs!$B$7*EXP(-Inputs!$B$8*(A32/12))</f>
        <v>208.43100983925419</v>
      </c>
      <c r="D32" s="8">
        <f t="shared" si="0"/>
        <v>6336.3026991133274</v>
      </c>
      <c r="E32" s="11">
        <f>D32*Inputs!$B$5</f>
        <v>475222.70243349957</v>
      </c>
      <c r="F32" s="11">
        <f>E32*Inputs!$B$6</f>
        <v>89104.256706281172</v>
      </c>
      <c r="G32" s="11">
        <f t="shared" si="1"/>
        <v>386118.44572721841</v>
      </c>
      <c r="H32" s="11">
        <f>IF(A32=0,0,Inputs!$B$4)</f>
        <v>15000</v>
      </c>
      <c r="I32" s="11">
        <f>IF(A32=0,-Inputs!$B$3,G32-H32)</f>
        <v>371118.44572721841</v>
      </c>
    </row>
    <row r="33" spans="1:9">
      <c r="A33" s="7">
        <v>31</v>
      </c>
      <c r="B33" s="10">
        <v>47331</v>
      </c>
      <c r="C33" s="7">
        <f>Inputs!$B$7*EXP(-Inputs!$B$8*(A33/12))</f>
        <v>202.43957192278171</v>
      </c>
      <c r="D33" s="8">
        <f t="shared" si="0"/>
        <v>6154.1629864525639</v>
      </c>
      <c r="E33" s="11">
        <f>D33*Inputs!$B$5</f>
        <v>461562.2239839423</v>
      </c>
      <c r="F33" s="11">
        <f>E33*Inputs!$B$6</f>
        <v>86542.916996989181</v>
      </c>
      <c r="G33" s="11">
        <f t="shared" si="1"/>
        <v>375019.30698695313</v>
      </c>
      <c r="H33" s="11">
        <f>IF(A33=0,0,Inputs!$B$4)</f>
        <v>15000</v>
      </c>
      <c r="I33" s="11">
        <f>IF(A33=0,-Inputs!$B$3,G33-H33)</f>
        <v>360019.30698695313</v>
      </c>
    </row>
    <row r="34" spans="1:9">
      <c r="A34" s="7">
        <v>32</v>
      </c>
      <c r="B34" s="10">
        <v>47362</v>
      </c>
      <c r="C34" s="7">
        <f>Inputs!$B$7*EXP(-Inputs!$B$8*(A34/12))</f>
        <v>196.62036043429916</v>
      </c>
      <c r="D34" s="8">
        <f t="shared" si="0"/>
        <v>5977.2589572026945</v>
      </c>
      <c r="E34" s="11">
        <f>D34*Inputs!$B$5</f>
        <v>448294.42179020209</v>
      </c>
      <c r="F34" s="11">
        <f>E34*Inputs!$B$6</f>
        <v>84055.204085662888</v>
      </c>
      <c r="G34" s="11">
        <f t="shared" si="1"/>
        <v>364239.21770453919</v>
      </c>
      <c r="H34" s="11">
        <f>IF(A34=0,0,Inputs!$B$4)</f>
        <v>15000</v>
      </c>
      <c r="I34" s="11">
        <f>IF(A34=0,-Inputs!$B$3,G34-H34)</f>
        <v>349239.21770453919</v>
      </c>
    </row>
    <row r="35" spans="1:9">
      <c r="A35" s="7">
        <v>33</v>
      </c>
      <c r="B35" s="10">
        <v>47392</v>
      </c>
      <c r="C35" s="7">
        <f>Inputs!$B$7*EXP(-Inputs!$B$8*(A35/12))</f>
        <v>190.96842465197446</v>
      </c>
      <c r="D35" s="8">
        <f t="shared" si="0"/>
        <v>5805.440109420023</v>
      </c>
      <c r="E35" s="11">
        <f>D35*Inputs!$B$5</f>
        <v>435408.00820650172</v>
      </c>
      <c r="F35" s="11">
        <f>E35*Inputs!$B$6</f>
        <v>81639.00153871908</v>
      </c>
      <c r="G35" s="11">
        <f t="shared" si="1"/>
        <v>353769.00666778267</v>
      </c>
      <c r="H35" s="11">
        <f>IF(A35=0,0,Inputs!$B$4)</f>
        <v>15000</v>
      </c>
      <c r="I35" s="11">
        <f>IF(A35=0,-Inputs!$B$3,G35-H35)</f>
        <v>338769.00666778267</v>
      </c>
    </row>
    <row r="36" spans="1:9">
      <c r="A36" s="7">
        <v>34</v>
      </c>
      <c r="B36" s="10">
        <v>47423</v>
      </c>
      <c r="C36" s="7">
        <f>Inputs!$B$7*EXP(-Inputs!$B$8*(A36/12))</f>
        <v>185.47895616457774</v>
      </c>
      <c r="D36" s="8">
        <f t="shared" si="0"/>
        <v>5638.5602674031634</v>
      </c>
      <c r="E36" s="11">
        <f>D36*Inputs!$B$5</f>
        <v>422892.02005523723</v>
      </c>
      <c r="F36" s="11">
        <f>E36*Inputs!$B$6</f>
        <v>79292.25376035698</v>
      </c>
      <c r="G36" s="11">
        <f t="shared" si="1"/>
        <v>343599.76629488025</v>
      </c>
      <c r="H36" s="11">
        <f>IF(A36=0,0,Inputs!$B$4)</f>
        <v>15000</v>
      </c>
      <c r="I36" s="11">
        <f>IF(A36=0,-Inputs!$B$3,G36-H36)</f>
        <v>328599.76629488025</v>
      </c>
    </row>
    <row r="37" spans="1:9">
      <c r="A37" s="7">
        <v>35</v>
      </c>
      <c r="B37" s="10">
        <v>47453</v>
      </c>
      <c r="C37" s="7">
        <f>Inputs!$B$7*EXP(-Inputs!$B$8*(A37/12))</f>
        <v>180.14728478070245</v>
      </c>
      <c r="D37" s="8">
        <f t="shared" si="0"/>
        <v>5476.4774573333543</v>
      </c>
      <c r="E37" s="11">
        <f>D37*Inputs!$B$5</f>
        <v>410735.80930000159</v>
      </c>
      <c r="F37" s="11">
        <f>E37*Inputs!$B$6</f>
        <v>77012.964243750292</v>
      </c>
      <c r="G37" s="11">
        <f t="shared" si="1"/>
        <v>333722.84505625127</v>
      </c>
      <c r="H37" s="11">
        <f>IF(A37=0,0,Inputs!$B$4)</f>
        <v>15000</v>
      </c>
      <c r="I37" s="11">
        <f>IF(A37=0,-Inputs!$B$3,G37-H37)</f>
        <v>318722.84505625127</v>
      </c>
    </row>
    <row r="38" spans="1:9">
      <c r="A38" s="7">
        <v>36</v>
      </c>
      <c r="B38" s="10">
        <v>47484</v>
      </c>
      <c r="C38" s="7">
        <f>Inputs!$B$7*EXP(-Inputs!$B$8*(A38/12))</f>
        <v>174.96887455557771</v>
      </c>
      <c r="D38" s="8">
        <f t="shared" si="0"/>
        <v>5319.0537864895623</v>
      </c>
      <c r="E38" s="11">
        <f>D38*Inputs!$B$5</f>
        <v>398929.03398671717</v>
      </c>
      <c r="F38" s="11">
        <f>E38*Inputs!$B$6</f>
        <v>74799.193872509466</v>
      </c>
      <c r="G38" s="11">
        <f t="shared" si="1"/>
        <v>324129.84011420771</v>
      </c>
      <c r="H38" s="11">
        <f>IF(A38=0,0,Inputs!$B$4)</f>
        <v>15000</v>
      </c>
      <c r="I38" s="11">
        <f>IF(A38=0,-Inputs!$B$3,G38-H38)</f>
        <v>309129.84011420771</v>
      </c>
    </row>
    <row r="39" spans="1:9">
      <c r="A39" s="7">
        <v>37</v>
      </c>
      <c r="B39" s="10">
        <v>47515</v>
      </c>
      <c r="C39" s="7">
        <f>Inputs!$B$7*EXP(-Inputs!$B$8*(A39/12))</f>
        <v>169.93931993209202</v>
      </c>
      <c r="D39" s="8">
        <f t="shared" si="0"/>
        <v>5166.1553259355969</v>
      </c>
      <c r="E39" s="11">
        <f>D39*Inputs!$B$5</f>
        <v>387461.64944516978</v>
      </c>
      <c r="F39" s="11">
        <f>E39*Inputs!$B$6</f>
        <v>72649.05927096933</v>
      </c>
      <c r="G39" s="11">
        <f t="shared" si="1"/>
        <v>314812.59017420048</v>
      </c>
      <c r="H39" s="11">
        <f>IF(A39=0,0,Inputs!$B$4)</f>
        <v>15000</v>
      </c>
      <c r="I39" s="11">
        <f>IF(A39=0,-Inputs!$B$3,G39-H39)</f>
        <v>299812.59017420048</v>
      </c>
    </row>
    <row r="40" spans="1:9">
      <c r="A40" s="7">
        <v>38</v>
      </c>
      <c r="B40" s="10">
        <v>47543</v>
      </c>
      <c r="C40" s="7">
        <f>Inputs!$B$7*EXP(-Inputs!$B$8*(A40/12))</f>
        <v>165.05434199274453</v>
      </c>
      <c r="D40" s="8">
        <f t="shared" si="0"/>
        <v>5017.6519965794332</v>
      </c>
      <c r="E40" s="11">
        <f>D40*Inputs!$B$5</f>
        <v>376323.8997434575</v>
      </c>
      <c r="F40" s="11">
        <f>E40*Inputs!$B$6</f>
        <v>70560.731201898278</v>
      </c>
      <c r="G40" s="11">
        <f t="shared" si="1"/>
        <v>305763.16854155925</v>
      </c>
      <c r="H40" s="11">
        <f>IF(A40=0,0,Inputs!$B$4)</f>
        <v>15000</v>
      </c>
      <c r="I40" s="11">
        <f>IF(A40=0,-Inputs!$B$3,G40-H40)</f>
        <v>290763.16854155925</v>
      </c>
    </row>
    <row r="41" spans="1:9">
      <c r="A41" s="7">
        <v>39</v>
      </c>
      <c r="B41" s="10">
        <v>47574</v>
      </c>
      <c r="C41" s="7">
        <f>Inputs!$B$7*EXP(-Inputs!$B$8*(A41/12))</f>
        <v>160.30978481933533</v>
      </c>
      <c r="D41" s="8">
        <f t="shared" si="0"/>
        <v>4873.4174585077935</v>
      </c>
      <c r="E41" s="11">
        <f>D41*Inputs!$B$5</f>
        <v>365506.30938808451</v>
      </c>
      <c r="F41" s="11">
        <f>E41*Inputs!$B$6</f>
        <v>68532.433010265842</v>
      </c>
      <c r="G41" s="11">
        <f t="shared" si="1"/>
        <v>296973.87637781864</v>
      </c>
      <c r="H41" s="11">
        <f>IF(A41=0,0,Inputs!$B$4)</f>
        <v>15000</v>
      </c>
      <c r="I41" s="11">
        <f>IF(A41=0,-Inputs!$B$3,G41-H41)</f>
        <v>281973.87637781864</v>
      </c>
    </row>
    <row r="42" spans="1:9">
      <c r="A42" s="7">
        <v>40</v>
      </c>
      <c r="B42" s="10">
        <v>47604</v>
      </c>
      <c r="C42" s="7">
        <f>Inputs!$B$7*EXP(-Inputs!$B$8*(A42/12))</f>
        <v>155.70161195729884</v>
      </c>
      <c r="D42" s="8">
        <f t="shared" si="0"/>
        <v>4733.3290035018845</v>
      </c>
      <c r="E42" s="11">
        <f>D42*Inputs!$B$5</f>
        <v>354999.67526264134</v>
      </c>
      <c r="F42" s="11">
        <f>E42*Inputs!$B$6</f>
        <v>66562.439111745247</v>
      </c>
      <c r="G42" s="11">
        <f t="shared" si="1"/>
        <v>288437.23615089606</v>
      </c>
      <c r="H42" s="11">
        <f>IF(A42=0,0,Inputs!$B$4)</f>
        <v>15000</v>
      </c>
      <c r="I42" s="11">
        <f>IF(A42=0,-Inputs!$B$3,G42-H42)</f>
        <v>273437.23615089606</v>
      </c>
    </row>
    <row r="43" spans="1:9">
      <c r="A43" s="7">
        <v>41</v>
      </c>
      <c r="B43" s="10">
        <v>47635</v>
      </c>
      <c r="C43" s="7">
        <f>Inputs!$B$7*EXP(-Inputs!$B$8*(A43/12))</f>
        <v>151.22590298167043</v>
      </c>
      <c r="D43" s="8">
        <f t="shared" si="0"/>
        <v>4597.2674506427811</v>
      </c>
      <c r="E43" s="11">
        <f>D43*Inputs!$B$5</f>
        <v>344795.0587982086</v>
      </c>
      <c r="F43" s="11">
        <f>E43*Inputs!$B$6</f>
        <v>64649.073524664112</v>
      </c>
      <c r="G43" s="11">
        <f t="shared" si="1"/>
        <v>280145.9852735445</v>
      </c>
      <c r="H43" s="11">
        <f>IF(A43=0,0,Inputs!$B$4)</f>
        <v>15000</v>
      </c>
      <c r="I43" s="11">
        <f>IF(A43=0,-Inputs!$B$3,G43-H43)</f>
        <v>265145.9852735445</v>
      </c>
    </row>
    <row r="44" spans="1:9">
      <c r="A44" s="7">
        <v>42</v>
      </c>
      <c r="B44" s="10">
        <v>47665</v>
      </c>
      <c r="C44" s="7">
        <f>Inputs!$B$7*EXP(-Inputs!$B$8*(A44/12))</f>
        <v>146.87885016176645</v>
      </c>
      <c r="D44" s="8">
        <f t="shared" si="0"/>
        <v>4465.1170449176998</v>
      </c>
      <c r="E44" s="11">
        <f>D44*Inputs!$B$5</f>
        <v>334883.77836882748</v>
      </c>
      <c r="F44" s="11">
        <f>E44*Inputs!$B$6</f>
        <v>62790.708444155156</v>
      </c>
      <c r="G44" s="11">
        <f t="shared" si="1"/>
        <v>272093.06992467231</v>
      </c>
      <c r="H44" s="11">
        <f>IF(A44=0,0,Inputs!$B$4)</f>
        <v>15000</v>
      </c>
      <c r="I44" s="11">
        <f>IF(A44=0,-Inputs!$B$3,G44-H44)</f>
        <v>257093.06992467231</v>
      </c>
    </row>
    <row r="45" spans="1:9">
      <c r="A45" s="7">
        <v>43</v>
      </c>
      <c r="B45" s="10">
        <v>47696</v>
      </c>
      <c r="C45" s="7">
        <f>Inputs!$B$7*EXP(-Inputs!$B$8*(A45/12))</f>
        <v>142.65675522173916</v>
      </c>
      <c r="D45" s="8">
        <f t="shared" si="0"/>
        <v>4336.7653587408704</v>
      </c>
      <c r="E45" s="11">
        <f>D45*Inputs!$B$5</f>
        <v>325257.40190556529</v>
      </c>
      <c r="F45" s="11">
        <f>E45*Inputs!$B$6</f>
        <v>60985.762857293492</v>
      </c>
      <c r="G45" s="11">
        <f t="shared" si="1"/>
        <v>264271.63904827181</v>
      </c>
      <c r="H45" s="11">
        <f>IF(A45=0,0,Inputs!$B$4)</f>
        <v>15000</v>
      </c>
      <c r="I45" s="11">
        <f>IF(A45=0,-Inputs!$B$3,G45-H45)</f>
        <v>249271.63904827181</v>
      </c>
    </row>
    <row r="46" spans="1:9">
      <c r="A46" s="7">
        <v>44</v>
      </c>
      <c r="B46" s="10">
        <v>47727</v>
      </c>
      <c r="C46" s="7">
        <f>Inputs!$B$7*EXP(-Inputs!$B$8*(A46/12))</f>
        <v>138.55602619425116</v>
      </c>
      <c r="D46" s="8">
        <f t="shared" si="0"/>
        <v>4212.1031963052346</v>
      </c>
      <c r="E46" s="11">
        <f>D46*Inputs!$B$5</f>
        <v>315907.73972289258</v>
      </c>
      <c r="F46" s="11">
        <f>E46*Inputs!$B$6</f>
        <v>59232.701198042356</v>
      </c>
      <c r="G46" s="11">
        <f t="shared" si="1"/>
        <v>256675.03852485021</v>
      </c>
      <c r="H46" s="11">
        <f>IF(A46=0,0,Inputs!$B$4)</f>
        <v>15000</v>
      </c>
      <c r="I46" s="11">
        <f>IF(A46=0,-Inputs!$B$3,G46-H46)</f>
        <v>241675.03852485021</v>
      </c>
    </row>
    <row r="47" spans="1:9">
      <c r="A47" s="7">
        <v>45</v>
      </c>
      <c r="B47" s="10">
        <v>47757</v>
      </c>
      <c r="C47" s="7">
        <f>Inputs!$B$7*EXP(-Inputs!$B$8*(A47/12))</f>
        <v>134.57317436459192</v>
      </c>
      <c r="D47" s="8">
        <f t="shared" si="0"/>
        <v>4091.0245006835944</v>
      </c>
      <c r="E47" s="11">
        <f>D47*Inputs!$B$5</f>
        <v>306826.83755126956</v>
      </c>
      <c r="F47" s="11">
        <f>E47*Inputs!$B$6</f>
        <v>57530.032040863043</v>
      </c>
      <c r="G47" s="11">
        <f t="shared" si="1"/>
        <v>249296.80551040653</v>
      </c>
      <c r="H47" s="11">
        <f>IF(A47=0,0,Inputs!$B$4)</f>
        <v>15000</v>
      </c>
      <c r="I47" s="11">
        <f>IF(A47=0,-Inputs!$B$3,G47-H47)</f>
        <v>234296.80551040653</v>
      </c>
    </row>
    <row r="48" spans="1:9">
      <c r="A48" s="7">
        <v>46</v>
      </c>
      <c r="B48" s="10">
        <v>47788</v>
      </c>
      <c r="C48" s="7">
        <f>Inputs!$B$7*EXP(-Inputs!$B$8*(A48/12))</f>
        <v>130.70481130263727</v>
      </c>
      <c r="D48" s="8">
        <f t="shared" si="0"/>
        <v>3973.4262636001727</v>
      </c>
      <c r="E48" s="11">
        <f>D48*Inputs!$B$5</f>
        <v>298006.96977001295</v>
      </c>
      <c r="F48" s="11">
        <f>E48*Inputs!$B$6</f>
        <v>55876.306831877431</v>
      </c>
      <c r="G48" s="11">
        <f t="shared" si="1"/>
        <v>242130.6629381355</v>
      </c>
      <c r="H48" s="11">
        <f>IF(A48=0,0,Inputs!$B$4)</f>
        <v>15000</v>
      </c>
      <c r="I48" s="11">
        <f>IF(A48=0,-Inputs!$B$3,G48-H48)</f>
        <v>227130.6629381355</v>
      </c>
    </row>
    <row r="49" spans="1:9">
      <c r="A49" s="7">
        <v>47</v>
      </c>
      <c r="B49" s="10">
        <v>47818</v>
      </c>
      <c r="C49" s="7">
        <f>Inputs!$B$7*EXP(-Inputs!$B$8*(A49/12))</f>
        <v>126.94764598012625</v>
      </c>
      <c r="D49" s="8">
        <f t="shared" si="0"/>
        <v>3859.2084377958381</v>
      </c>
      <c r="E49" s="11">
        <f>D49*Inputs!$B$5</f>
        <v>289440.63283468783</v>
      </c>
      <c r="F49" s="11">
        <f>E49*Inputs!$B$6</f>
        <v>54270.118656503968</v>
      </c>
      <c r="G49" s="11">
        <f t="shared" si="1"/>
        <v>235170.51417818386</v>
      </c>
      <c r="H49" s="11">
        <f>IF(A49=0,0,Inputs!$B$4)</f>
        <v>15000</v>
      </c>
      <c r="I49" s="11">
        <f>IF(A49=0,-Inputs!$B$3,G49-H49)</f>
        <v>220170.51417818386</v>
      </c>
    </row>
    <row r="50" spans="1:9">
      <c r="A50" s="7">
        <v>48</v>
      </c>
      <c r="B50" s="10">
        <v>47849</v>
      </c>
      <c r="C50" s="7">
        <f>Inputs!$B$7*EXP(-Inputs!$B$8*(A50/12))</f>
        <v>123.29848197080325</v>
      </c>
      <c r="D50" s="8">
        <f t="shared" si="0"/>
        <v>3748.2738519124186</v>
      </c>
      <c r="E50" s="11">
        <f>D50*Inputs!$B$5</f>
        <v>281120.53889343143</v>
      </c>
      <c r="F50" s="11">
        <f>E50*Inputs!$B$6</f>
        <v>52710.101042518392</v>
      </c>
      <c r="G50" s="11">
        <f t="shared" si="1"/>
        <v>228410.43785091303</v>
      </c>
      <c r="H50" s="11">
        <f>IF(A50=0,0,Inputs!$B$4)</f>
        <v>15000</v>
      </c>
      <c r="I50" s="11">
        <f>IF(A50=0,-Inputs!$B$3,G50-H50)</f>
        <v>213410.43785091303</v>
      </c>
    </row>
    <row r="51" spans="1:9">
      <c r="A51" s="7">
        <v>49</v>
      </c>
      <c r="B51" s="10">
        <v>47880</v>
      </c>
      <c r="C51" s="7">
        <f>Inputs!$B$7*EXP(-Inputs!$B$8*(A51/12))</f>
        <v>119.75421473104322</v>
      </c>
      <c r="D51" s="8">
        <f t="shared" si="0"/>
        <v>3640.5281278237139</v>
      </c>
      <c r="E51" s="11">
        <f>D51*Inputs!$B$5</f>
        <v>273039.60958677856</v>
      </c>
      <c r="F51" s="11">
        <f>E51*Inputs!$B$6</f>
        <v>51194.92679752098</v>
      </c>
      <c r="G51" s="11">
        <f t="shared" si="1"/>
        <v>221844.68278925758</v>
      </c>
      <c r="H51" s="11">
        <f>IF(A51=0,0,Inputs!$B$4)</f>
        <v>15000</v>
      </c>
      <c r="I51" s="11">
        <f>IF(A51=0,-Inputs!$B$3,G51-H51)</f>
        <v>206844.68278925758</v>
      </c>
    </row>
    <row r="52" spans="1:9">
      <c r="A52" s="7">
        <v>50</v>
      </c>
      <c r="B52" s="10">
        <v>47908</v>
      </c>
      <c r="C52" s="7">
        <f>Inputs!$B$7*EXP(-Inputs!$B$8*(A52/12))</f>
        <v>116.31182895864634</v>
      </c>
      <c r="D52" s="8">
        <f t="shared" si="0"/>
        <v>3535.8796003428488</v>
      </c>
      <c r="E52" s="11">
        <f>D52*Inputs!$B$5</f>
        <v>265190.97002571367</v>
      </c>
      <c r="F52" s="11">
        <f>E52*Inputs!$B$6</f>
        <v>49723.306879821313</v>
      </c>
      <c r="G52" s="11">
        <f t="shared" si="1"/>
        <v>215467.66314589235</v>
      </c>
      <c r="H52" s="11">
        <f>IF(A52=0,0,Inputs!$B$4)</f>
        <v>15000</v>
      </c>
      <c r="I52" s="11">
        <f>IF(A52=0,-Inputs!$B$3,G52-H52)</f>
        <v>200467.66314589235</v>
      </c>
    </row>
    <row r="53" spans="1:9">
      <c r="A53" s="7">
        <v>51</v>
      </c>
      <c r="B53" s="10">
        <v>47939</v>
      </c>
      <c r="C53" s="7">
        <f>Inputs!$B$7*EXP(-Inputs!$B$8*(A53/12))</f>
        <v>112.96839602755544</v>
      </c>
      <c r="D53" s="8">
        <f t="shared" si="0"/>
        <v>3434.2392392376851</v>
      </c>
      <c r="E53" s="11">
        <f>D53*Inputs!$B$5</f>
        <v>257567.94294282637</v>
      </c>
      <c r="F53" s="11">
        <f>E53*Inputs!$B$6</f>
        <v>48293.989301779948</v>
      </c>
      <c r="G53" s="11">
        <f t="shared" si="1"/>
        <v>209273.95364104642</v>
      </c>
      <c r="H53" s="11">
        <f>IF(A53=0,0,Inputs!$B$4)</f>
        <v>15000</v>
      </c>
      <c r="I53" s="11">
        <f>IF(A53=0,-Inputs!$B$3,G53-H53)</f>
        <v>194273.95364104642</v>
      </c>
    </row>
    <row r="54" spans="1:9">
      <c r="A54" s="7">
        <v>52</v>
      </c>
      <c r="B54" s="10">
        <v>47969</v>
      </c>
      <c r="C54" s="7">
        <f>Inputs!$B$7*EXP(-Inputs!$B$8*(A54/12))</f>
        <v>109.72107149631334</v>
      </c>
      <c r="D54" s="8">
        <f t="shared" si="0"/>
        <v>3335.5205734879255</v>
      </c>
      <c r="E54" s="11">
        <f>D54*Inputs!$B$5</f>
        <v>250164.04301159442</v>
      </c>
      <c r="F54" s="11">
        <f>E54*Inputs!$B$6</f>
        <v>46905.758064673952</v>
      </c>
      <c r="G54" s="11">
        <f t="shared" si="1"/>
        <v>203258.28494692047</v>
      </c>
      <c r="H54" s="11">
        <f>IF(A54=0,0,Inputs!$B$4)</f>
        <v>15000</v>
      </c>
      <c r="I54" s="11">
        <f>IF(A54=0,-Inputs!$B$3,G54-H54)</f>
        <v>188258.28494692047</v>
      </c>
    </row>
    <row r="55" spans="1:9">
      <c r="A55" s="7">
        <v>53</v>
      </c>
      <c r="B55" s="10">
        <v>48000</v>
      </c>
      <c r="C55" s="7">
        <f>Inputs!$B$7*EXP(-Inputs!$B$8*(A55/12))</f>
        <v>106.5670926881408</v>
      </c>
      <c r="D55" s="8">
        <f t="shared" si="0"/>
        <v>3239.6396177194802</v>
      </c>
      <c r="E55" s="11">
        <f>D55*Inputs!$B$5</f>
        <v>242972.97132896102</v>
      </c>
      <c r="F55" s="11">
        <f>E55*Inputs!$B$6</f>
        <v>45557.432124180195</v>
      </c>
      <c r="G55" s="11">
        <f t="shared" si="1"/>
        <v>197415.53920478083</v>
      </c>
      <c r="H55" s="11">
        <f>IF(A55=0,0,Inputs!$B$4)</f>
        <v>15000</v>
      </c>
      <c r="I55" s="11">
        <f>IF(A55=0,-Inputs!$B$3,G55-H55)</f>
        <v>182415.53920478083</v>
      </c>
    </row>
    <row r="56" spans="1:9">
      <c r="A56" s="7">
        <v>54</v>
      </c>
      <c r="B56" s="10">
        <v>48030</v>
      </c>
      <c r="C56" s="7">
        <f>Inputs!$B$7*EXP(-Inputs!$B$8*(A56/12))</f>
        <v>103.50377634057632</v>
      </c>
      <c r="D56" s="8">
        <f t="shared" si="0"/>
        <v>3146.5148007535199</v>
      </c>
      <c r="E56" s="11">
        <f>D56*Inputs!$B$5</f>
        <v>235988.61005651401</v>
      </c>
      <c r="F56" s="11">
        <f>E56*Inputs!$B$6</f>
        <v>44247.864385596375</v>
      </c>
      <c r="G56" s="11">
        <f t="shared" si="1"/>
        <v>191740.74567091762</v>
      </c>
      <c r="H56" s="11">
        <f>IF(A56=0,0,Inputs!$B$4)</f>
        <v>15000</v>
      </c>
      <c r="I56" s="11">
        <f>IF(A56=0,-Inputs!$B$3,G56-H56)</f>
        <v>176740.74567091762</v>
      </c>
    </row>
    <row r="57" spans="1:9">
      <c r="A57" s="7">
        <v>55</v>
      </c>
      <c r="B57" s="10">
        <v>48061</v>
      </c>
      <c r="C57" s="7">
        <f>Inputs!$B$7*EXP(-Inputs!$B$8*(A57/12))</f>
        <v>100.52851632267746</v>
      </c>
      <c r="D57" s="8">
        <f t="shared" si="0"/>
        <v>3056.0668962093946</v>
      </c>
      <c r="E57" s="11">
        <f>D57*Inputs!$B$5</f>
        <v>229205.0172157046</v>
      </c>
      <c r="F57" s="11">
        <f>E57*Inputs!$B$6</f>
        <v>42975.940727944617</v>
      </c>
      <c r="G57" s="11">
        <f t="shared" si="1"/>
        <v>186229.07648776</v>
      </c>
      <c r="H57" s="11">
        <f>IF(A57=0,0,Inputs!$B$4)</f>
        <v>15000</v>
      </c>
      <c r="I57" s="11">
        <f>IF(A57=0,-Inputs!$B$3,G57-H57)</f>
        <v>171229.07648776</v>
      </c>
    </row>
    <row r="58" spans="1:9">
      <c r="A58" s="7">
        <v>56</v>
      </c>
      <c r="B58" s="10">
        <v>48092</v>
      </c>
      <c r="C58" s="7">
        <f>Inputs!$B$7*EXP(-Inputs!$B$8*(A58/12))</f>
        <v>97.638781417842864</v>
      </c>
      <c r="D58" s="8">
        <f t="shared" si="0"/>
        <v>2968.218955102423</v>
      </c>
      <c r="E58" s="11">
        <f>D58*Inputs!$B$5</f>
        <v>222616.42163268174</v>
      </c>
      <c r="F58" s="11">
        <f>E58*Inputs!$B$6</f>
        <v>41740.579056127826</v>
      </c>
      <c r="G58" s="11">
        <f t="shared" si="1"/>
        <v>180875.84257655393</v>
      </c>
      <c r="H58" s="11">
        <f>IF(A58=0,0,Inputs!$B$4)</f>
        <v>15000</v>
      </c>
      <c r="I58" s="11">
        <f>IF(A58=0,-Inputs!$B$3,G58-H58)</f>
        <v>165875.84257655393</v>
      </c>
    </row>
    <row r="59" spans="1:9">
      <c r="A59" s="7">
        <v>57</v>
      </c>
      <c r="B59" s="10">
        <v>48122</v>
      </c>
      <c r="C59" s="7">
        <f>Inputs!$B$7*EXP(-Inputs!$B$8*(A59/12))</f>
        <v>94.832113170367649</v>
      </c>
      <c r="D59" s="8">
        <f t="shared" si="0"/>
        <v>2882.8962403791766</v>
      </c>
      <c r="E59" s="11">
        <f>D59*Inputs!$B$5</f>
        <v>216217.21802843825</v>
      </c>
      <c r="F59" s="11">
        <f>E59*Inputs!$B$6</f>
        <v>40540.72838033217</v>
      </c>
      <c r="G59" s="11">
        <f t="shared" si="1"/>
        <v>175676.48964810607</v>
      </c>
      <c r="H59" s="11">
        <f>IF(A59=0,0,Inputs!$B$4)</f>
        <v>15000</v>
      </c>
      <c r="I59" s="11">
        <f>IF(A59=0,-Inputs!$B$3,G59-H59)</f>
        <v>160676.48964810607</v>
      </c>
    </row>
    <row r="60" spans="1:9">
      <c r="A60" s="7">
        <v>58</v>
      </c>
      <c r="B60" s="10">
        <v>48153</v>
      </c>
      <c r="C60" s="7">
        <f>Inputs!$B$7*EXP(-Inputs!$B$8*(A60/12))</f>
        <v>92.106123793900395</v>
      </c>
      <c r="D60" s="8">
        <f t="shared" si="0"/>
        <v>2800.0261633345717</v>
      </c>
      <c r="E60" s="11">
        <f>D60*Inputs!$B$5</f>
        <v>210001.96225009288</v>
      </c>
      <c r="F60" s="11">
        <f>E60*Inputs!$B$6</f>
        <v>39375.367921892415</v>
      </c>
      <c r="G60" s="11">
        <f t="shared" si="1"/>
        <v>170626.59432820047</v>
      </c>
      <c r="H60" s="11">
        <f>IF(A60=0,0,Inputs!$B$4)</f>
        <v>15000</v>
      </c>
      <c r="I60" s="11">
        <f>IF(A60=0,-Inputs!$B$3,G60-H60)</f>
        <v>155626.59432820047</v>
      </c>
    </row>
    <row r="61" spans="1:9">
      <c r="A61" s="7">
        <v>59</v>
      </c>
      <c r="B61" s="10">
        <v>48183</v>
      </c>
      <c r="C61" s="7">
        <f>Inputs!$B$7*EXP(-Inputs!$B$8*(A61/12))</f>
        <v>89.458494140022665</v>
      </c>
      <c r="D61" s="8">
        <f t="shared" si="0"/>
        <v>2719.5382218566888</v>
      </c>
      <c r="E61" s="11">
        <f>D61*Inputs!$B$5</f>
        <v>203965.36663925165</v>
      </c>
      <c r="F61" s="11">
        <f>E61*Inputs!$B$6</f>
        <v>38243.506244859687</v>
      </c>
      <c r="G61" s="11">
        <f t="shared" si="1"/>
        <v>165721.86039439196</v>
      </c>
      <c r="H61" s="11">
        <f>IF(A61=0,0,Inputs!$B$4)</f>
        <v>15000</v>
      </c>
      <c r="I61" s="11">
        <f>IF(A61=0,-Inputs!$B$3,G61-H61)</f>
        <v>150721.86039439196</v>
      </c>
    </row>
    <row r="62" spans="1:9">
      <c r="A62" s="7">
        <v>60</v>
      </c>
      <c r="B62" s="10">
        <v>48214</v>
      </c>
      <c r="C62" s="7">
        <f>Inputs!$B$7*EXP(-Inputs!$B$8*(A62/12))</f>
        <v>86.886971725222566</v>
      </c>
      <c r="D62" s="8">
        <f t="shared" si="0"/>
        <v>2641.3639404467658</v>
      </c>
      <c r="E62" s="11">
        <f>D62*Inputs!$B$5</f>
        <v>198102.29553350742</v>
      </c>
      <c r="F62" s="11">
        <f>E62*Inputs!$B$6</f>
        <v>37144.180412532645</v>
      </c>
      <c r="G62" s="11">
        <f t="shared" si="1"/>
        <v>160958.11512097478</v>
      </c>
      <c r="H62" s="11">
        <f>IF(A62=0,0,Inputs!$B$4)</f>
        <v>15000</v>
      </c>
      <c r="I62" s="11">
        <f>IF(A62=0,-Inputs!$B$3,G62-H62)</f>
        <v>145958.11512097478</v>
      </c>
    </row>
    <row r="65" spans="1:2">
      <c r="A65" s="12" t="s">
        <v>32</v>
      </c>
      <c r="B65" s="13">
        <f>NPV(Inputs!$B$9/12, I3:I62)+I2</f>
        <v>13993995.596086141</v>
      </c>
    </row>
    <row r="66" spans="1:2">
      <c r="A66" s="12" t="s">
        <v>33</v>
      </c>
      <c r="B66" s="14">
        <f>(1+IRR(I2:I62))^12-1</f>
        <v>2.034518065106496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A1C90-D438-4610-9645-5E80B3040B60}">
  <dimension ref="A1:F8"/>
  <sheetViews>
    <sheetView workbookViewId="0">
      <selection activeCell="C15" sqref="C15"/>
    </sheetView>
  </sheetViews>
  <sheetFormatPr defaultRowHeight="15"/>
  <cols>
    <col min="2" max="2" width="31" customWidth="1"/>
    <col min="3" max="3" width="13.42578125" customWidth="1"/>
    <col min="4" max="4" width="15.7109375" customWidth="1"/>
    <col min="5" max="6" width="16" customWidth="1"/>
  </cols>
  <sheetData>
    <row r="1" spans="1:6">
      <c r="B1" t="s">
        <v>34</v>
      </c>
    </row>
    <row r="3" spans="1:6">
      <c r="A3" s="4" t="s">
        <v>32</v>
      </c>
      <c r="B3" s="16">
        <v>50</v>
      </c>
      <c r="C3" s="16">
        <v>65</v>
      </c>
      <c r="D3" s="16">
        <v>75</v>
      </c>
      <c r="E3" s="16">
        <v>85</v>
      </c>
      <c r="F3" s="16">
        <v>100</v>
      </c>
    </row>
    <row r="4" spans="1:6">
      <c r="A4" s="17">
        <v>2000000</v>
      </c>
      <c r="B4" s="15" cm="1">
        <f t="array" ref="B4">-$A4+NPV(Inputs!$B$9,'Cash Flow Model'!$D$3:$D$62*B$3*(1-Inputs!$B$6)-Inputs!$B$4)</f>
        <v>2506249.6251621051</v>
      </c>
      <c r="C4" s="15" cm="1">
        <f t="array" ref="C4">-$A4+NPV(Inputs!$B$9,'Cash Flow Model'!$D$3:$D$62*C$3*(1-Inputs!$B$6)-Inputs!$B$4)</f>
        <v>3902976.7205480682</v>
      </c>
      <c r="D4" s="15" cm="1">
        <f t="array" ref="D4">-$A4+NPV(Inputs!$B$9,'Cash Flow Model'!$D$3:$D$62*D$3*(1-Inputs!$B$6)-Inputs!$B$4)</f>
        <v>4834128.1174720423</v>
      </c>
      <c r="E4" s="15" cm="1">
        <f t="array" ref="E4">-$A4+NPV(Inputs!$B$9,'Cash Flow Model'!$D$3:$D$62*E$3*(1-Inputs!$B$6)-Inputs!$B$4)</f>
        <v>5765279.5143960211</v>
      </c>
      <c r="F4" s="15" cm="1">
        <f t="array" ref="F4">-$A4+NPV(Inputs!$B$9,'Cash Flow Model'!$D$3:$D$62*F$3*(1-Inputs!$B$6)-Inputs!$B$4)</f>
        <v>7162006.6097819861</v>
      </c>
    </row>
    <row r="5" spans="1:6">
      <c r="A5" s="17">
        <v>2250000</v>
      </c>
      <c r="B5" s="15" cm="1">
        <f t="array" ref="B5">-$A5+NPV(Inputs!$B$9,'Cash Flow Model'!$D$3:$D$62*B$3*(1-Inputs!$B$6)-Inputs!$B$4)</f>
        <v>2256249.6251621051</v>
      </c>
      <c r="C5" s="15" cm="1">
        <f t="array" ref="C5">-$A5+NPV(Inputs!$B$9,'Cash Flow Model'!$D$3:$D$62*C$3*(1-Inputs!$B$6)-Inputs!$B$4)</f>
        <v>3652976.7205480682</v>
      </c>
      <c r="D5" s="15" cm="1">
        <f t="array" ref="D5">-$A5+NPV(Inputs!$B$9,'Cash Flow Model'!$D$3:$D$62*D$3*(1-Inputs!$B$6)-Inputs!$B$4)</f>
        <v>4584128.1174720423</v>
      </c>
      <c r="E5" s="15" cm="1">
        <f t="array" ref="E5">-$A5+NPV(Inputs!$B$9,'Cash Flow Model'!$D$3:$D$62*E$3*(1-Inputs!$B$6)-Inputs!$B$4)</f>
        <v>5515279.5143960211</v>
      </c>
      <c r="F5" s="15" cm="1">
        <f t="array" ref="F5">-$A5+NPV(Inputs!$B$9,'Cash Flow Model'!$D$3:$D$62*F$3*(1-Inputs!$B$6)-Inputs!$B$4)</f>
        <v>6912006.6097819861</v>
      </c>
    </row>
    <row r="6" spans="1:6">
      <c r="A6" s="17">
        <v>2500000</v>
      </c>
      <c r="B6" s="15" cm="1">
        <f t="array" ref="B6">-$A6+NPV(Inputs!$B$9,'Cash Flow Model'!$D$3:$D$62*B$3*(1-Inputs!$B$6)-Inputs!$B$4)</f>
        <v>2006249.6251621051</v>
      </c>
      <c r="C6" s="15" cm="1">
        <f t="array" ref="C6">-$A6+NPV(Inputs!$B$9,'Cash Flow Model'!$D$3:$D$62*C$3*(1-Inputs!$B$6)-Inputs!$B$4)</f>
        <v>3402976.7205480682</v>
      </c>
      <c r="D6" s="15" cm="1">
        <f t="array" ref="D6">-$A6+NPV(Inputs!$B$9,'Cash Flow Model'!$D$3:$D$62*D$3*(1-Inputs!$B$6)-Inputs!$B$4)</f>
        <v>4334128.1174720423</v>
      </c>
      <c r="E6" s="15" cm="1">
        <f t="array" ref="E6">-$A6+NPV(Inputs!$B$9,'Cash Flow Model'!$D$3:$D$62*E$3*(1-Inputs!$B$6)-Inputs!$B$4)</f>
        <v>5265279.5143960211</v>
      </c>
      <c r="F6" s="15" cm="1">
        <f t="array" ref="F6">-$A6+NPV(Inputs!$B$9,'Cash Flow Model'!$D$3:$D$62*F$3*(1-Inputs!$B$6)-Inputs!$B$4)</f>
        <v>6662006.6097819861</v>
      </c>
    </row>
    <row r="7" spans="1:6">
      <c r="A7" s="17">
        <v>2750000</v>
      </c>
      <c r="B7" s="15" cm="1">
        <f t="array" ref="B7">-$A7+NPV(Inputs!$B$9,'Cash Flow Model'!$D$3:$D$62*B$3*(1-Inputs!$B$6)-Inputs!$B$4)</f>
        <v>1756249.6251621051</v>
      </c>
      <c r="C7" s="15" cm="1">
        <f t="array" ref="C7">-$A7+NPV(Inputs!$B$9,'Cash Flow Model'!$D$3:$D$62*C$3*(1-Inputs!$B$6)-Inputs!$B$4)</f>
        <v>3152976.7205480682</v>
      </c>
      <c r="D7" s="15" cm="1">
        <f t="array" ref="D7">-$A7+NPV(Inputs!$B$9,'Cash Flow Model'!$D$3:$D$62*D$3*(1-Inputs!$B$6)-Inputs!$B$4)</f>
        <v>4084128.1174720423</v>
      </c>
      <c r="E7" s="15" cm="1">
        <f t="array" ref="E7">-$A7+NPV(Inputs!$B$9,'Cash Flow Model'!$D$3:$D$62*E$3*(1-Inputs!$B$6)-Inputs!$B$4)</f>
        <v>5015279.5143960211</v>
      </c>
      <c r="F7" s="15" cm="1">
        <f t="array" ref="F7">-$A7+NPV(Inputs!$B$9,'Cash Flow Model'!$D$3:$D$62*F$3*(1-Inputs!$B$6)-Inputs!$B$4)</f>
        <v>6412006.6097819861</v>
      </c>
    </row>
    <row r="8" spans="1:6">
      <c r="A8" s="17">
        <v>3000000</v>
      </c>
      <c r="B8" s="15" cm="1">
        <f t="array" ref="B8">-$A8+NPV(Inputs!$B$9,'Cash Flow Model'!$D$3:$D$62*B$3*(1-Inputs!$B$6)-Inputs!$B$4)</f>
        <v>1506249.6251621051</v>
      </c>
      <c r="C8" s="15" cm="1">
        <f t="array" ref="C8">-$A8+NPV(Inputs!$B$9,'Cash Flow Model'!$D$3:$D$62*C$3*(1-Inputs!$B$6)-Inputs!$B$4)</f>
        <v>2902976.7205480682</v>
      </c>
      <c r="D8" s="15" cm="1">
        <f t="array" ref="D8">-$A8+NPV(Inputs!$B$9,'Cash Flow Model'!$D$3:$D$62*D$3*(1-Inputs!$B$6)-Inputs!$B$4)</f>
        <v>3834128.1174720423</v>
      </c>
      <c r="E8" s="15" cm="1">
        <f t="array" ref="E8">-$A8+NPV(Inputs!$B$9,'Cash Flow Model'!$D$3:$D$62*E$3*(1-Inputs!$B$6)-Inputs!$B$4)</f>
        <v>4765279.5143960211</v>
      </c>
      <c r="F8" s="15" cm="1">
        <f t="array" ref="F8">-$A8+NPV(Inputs!$B$9,'Cash Flow Model'!$D$3:$D$62*F$3*(1-Inputs!$B$6)-Inputs!$B$4)</f>
        <v>6162006.6097819861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2026-08-19T18:09:17Z</dcterms:created>
  <dcterms:modified xsi:type="dcterms:W3CDTF">2026-09-14T22:07:48Z</dcterms:modified>
  <cp:category/>
  <cp:contentStatus/>
</cp:coreProperties>
</file>