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xr:revisionPtr revIDLastSave="0" documentId="8_{5A439203-E217-44FA-A8C0-2DC383666532}" xr6:coauthVersionLast="47" xr6:coauthVersionMax="47" xr10:uidLastSave="{00000000-0000-0000-0000-000000000000}"/>
  <bookViews>
    <workbookView xWindow="240" yWindow="105" windowWidth="14805" windowHeight="8010" activeTab="2" xr2:uid="{00000000-000D-0000-FFFF-FFFF00000000}"/>
  </bookViews>
  <sheets>
    <sheet name="README" sheetId="3" r:id="rId1"/>
    <sheet name="Data" sheetId="1" r:id="rId2"/>
    <sheet name="History Matching"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24" i="2" l="1"/>
  <c r="A111" i="2"/>
  <c r="A98" i="2"/>
  <c r="A85" i="2"/>
  <c r="A72" i="2"/>
  <c r="A59" i="2"/>
  <c r="A33" i="2"/>
  <c r="A35" i="2"/>
  <c r="A36" i="2"/>
  <c r="A46"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A21" i="2"/>
  <c r="A22" i="2"/>
  <c r="A23" i="2"/>
  <c r="A24" i="2"/>
  <c r="A25" i="2"/>
  <c r="A26" i="2"/>
  <c r="A27" i="2"/>
  <c r="A28" i="2"/>
  <c r="A29" i="2"/>
  <c r="A30" i="2"/>
  <c r="A31" i="2"/>
  <c r="A32" i="2"/>
  <c r="A34" i="2"/>
  <c r="A37" i="2"/>
  <c r="A38" i="2"/>
  <c r="A39" i="2"/>
  <c r="A40" i="2"/>
  <c r="A41" i="2"/>
  <c r="A42" i="2"/>
  <c r="A43" i="2"/>
  <c r="A44" i="2"/>
  <c r="A45" i="2"/>
  <c r="A47" i="2"/>
  <c r="A48" i="2"/>
  <c r="A49" i="2"/>
  <c r="A50" i="2"/>
  <c r="A51" i="2"/>
  <c r="A52" i="2"/>
  <c r="A53" i="2"/>
  <c r="A54" i="2"/>
  <c r="A55" i="2"/>
  <c r="A56" i="2"/>
  <c r="A57" i="2"/>
  <c r="A58" i="2"/>
  <c r="A60" i="2"/>
  <c r="A61" i="2"/>
  <c r="A62" i="2"/>
  <c r="A63" i="2"/>
  <c r="A64" i="2"/>
  <c r="A65" i="2"/>
  <c r="A66" i="2"/>
  <c r="A67" i="2"/>
  <c r="A68" i="2"/>
  <c r="A69" i="2"/>
  <c r="A70" i="2"/>
  <c r="A71" i="2"/>
  <c r="A73" i="2"/>
  <c r="A74" i="2"/>
  <c r="A75" i="2"/>
  <c r="A76" i="2"/>
  <c r="A77" i="2"/>
  <c r="A78" i="2"/>
  <c r="A79" i="2"/>
  <c r="A80" i="2"/>
  <c r="A81" i="2"/>
  <c r="A82" i="2"/>
  <c r="A83" i="2"/>
  <c r="A84" i="2"/>
  <c r="A86" i="2"/>
  <c r="A87" i="2"/>
  <c r="A88" i="2"/>
  <c r="A89" i="2"/>
  <c r="A90" i="2"/>
  <c r="A91" i="2"/>
  <c r="A92" i="2"/>
  <c r="A93" i="2"/>
  <c r="A94" i="2"/>
  <c r="A95" i="2"/>
  <c r="A96" i="2"/>
  <c r="A97" i="2"/>
  <c r="A99" i="2"/>
  <c r="A100" i="2"/>
  <c r="A101" i="2"/>
  <c r="A102" i="2"/>
  <c r="A103" i="2"/>
  <c r="A104" i="2"/>
  <c r="A105" i="2"/>
  <c r="A106" i="2"/>
  <c r="A107" i="2"/>
  <c r="A108" i="2"/>
  <c r="A109" i="2"/>
  <c r="A110" i="2"/>
  <c r="A112" i="2"/>
  <c r="A113" i="2"/>
  <c r="A114" i="2"/>
  <c r="A115" i="2"/>
  <c r="A116" i="2"/>
  <c r="A117" i="2"/>
  <c r="A118" i="2"/>
  <c r="A119" i="2"/>
  <c r="A120" i="2"/>
  <c r="A121" i="2"/>
  <c r="A122" i="2"/>
  <c r="A123" i="2"/>
  <c r="A125" i="2"/>
  <c r="A126" i="2"/>
  <c r="A127" i="2"/>
  <c r="A16" i="2"/>
  <c r="A17" i="2"/>
  <c r="A18" i="2"/>
  <c r="A19" i="2"/>
  <c r="B19" i="2"/>
  <c r="B2" i="2"/>
  <c r="B9" i="2"/>
  <c r="B10" i="2"/>
  <c r="B11" i="2"/>
  <c r="B12" i="2"/>
  <c r="B13" i="2"/>
  <c r="B14" i="2"/>
  <c r="B15" i="2"/>
  <c r="B16" i="2"/>
  <c r="B17" i="2"/>
  <c r="B18" i="2"/>
  <c r="A9" i="2"/>
  <c r="C9" i="2" s="1"/>
  <c r="D9" i="2" s="1"/>
  <c r="A10" i="2"/>
  <c r="C10" i="2" s="1"/>
  <c r="D10" i="2" s="1"/>
  <c r="A11" i="2"/>
  <c r="C11" i="2" s="1"/>
  <c r="D11" i="2" s="1"/>
  <c r="A12" i="2"/>
  <c r="C12" i="2" s="1"/>
  <c r="D12" i="2" s="1"/>
  <c r="A13" i="2"/>
  <c r="C13" i="2" s="1"/>
  <c r="D13" i="2" s="1"/>
  <c r="A14" i="2"/>
  <c r="C14" i="2" s="1"/>
  <c r="D14" i="2" s="1"/>
  <c r="A15" i="2"/>
  <c r="C15" i="2" s="1"/>
  <c r="D15" i="2" s="1"/>
  <c r="C16" i="2"/>
  <c r="D16" i="2" s="1"/>
  <c r="C17" i="2"/>
  <c r="D17" i="2" s="1"/>
  <c r="C18" i="2"/>
  <c r="D18" i="2" s="1"/>
  <c r="C19" i="2"/>
  <c r="D19" i="2" s="1"/>
  <c r="A8" i="2"/>
  <c r="C8" i="2"/>
  <c r="B8" i="2"/>
  <c r="F3" i="2" l="1"/>
  <c r="D8" i="2"/>
  <c r="F1" i="2" s="1"/>
</calcChain>
</file>

<file path=xl/sharedStrings.xml><?xml version="1.0" encoding="utf-8"?>
<sst xmlns="http://schemas.openxmlformats.org/spreadsheetml/2006/main" count="37" uniqueCount="37">
  <si>
    <t>DECLINE CURVE HISTORY MATCHING TOOL</t>
  </si>
  <si>
    <t>Purpose</t>
  </si>
  <si>
    <t>Oil and gas wells don't produce at a steady rate forever. Output drops off 
over time, and engineers use decline curves to model that drop-off and 
predict how much a well will ultimately produce. This tool takes a well's 
actual monthly production history and fits an Arps hyperbolic decline curve 
to it, then uses that fitted curve to forecast production 10 years out and 
estimate the well's total remaining recovery (EUR).</t>
  </si>
  <si>
    <t>How It Works</t>
  </si>
  <si>
    <t>The observed production numbers live on the Data tab. From there, the 
History Matching tab calculates what the decline curve predicts production 
should be each month, and compares that to what actually happened. The gap 
between the two gets squared and summed into one number (Total SSE) — the 
lower that number, the better the curve fits the real data. From there it's 
just a matter of adjusting the curve's three parameters (qi, Di, b) until 
that error number is as small as it can get. Once the fit is good, the same 
formula is extended forward another 10 years to estimate how much more the 
well will produce.</t>
  </si>
  <si>
    <t>Tabs In This Workbook</t>
  </si>
  <si>
    <t>Readme — this tab
Data — the well's raw monthly production numbers
History Matching — where the fitting happens: parameters, calculations, 
error tracking, the chart, and the EUR estimate</t>
  </si>
  <si>
    <t>Key Terms</t>
  </si>
  <si>
    <t>qi — the well's starting production rate, pulled straight from month one
Di — how fast production falls off early in the well's life
b — controls the shape of the decline curve over time; usually somewhere 
between 0 and 1 for a conventional oil well
SSE — a single number showing how far off the modeled curve is from the 
real data. Smaller is better.
EUR — the total production the fitted curve predicts over the next 10 years</t>
  </si>
  <si>
    <t>Methodology Note</t>
  </si>
  <si>
    <t>This was built in Excel for the web, which doesn't support the Solver 
add-in — so instead of letting Solver search for the best-fit parameters 
automatically, I did it by hand: adjusting qi, Di, and b myself while 
watching the SSE number in real time, and narrowing in on the combination 
that minimized the error. Same underlying idea as Solver, just done manually.</t>
  </si>
  <si>
    <t>Assumptions &amp; Limitations</t>
  </si>
  <si>
    <t xml:space="preserve">qi is taken directly from the well's first production value rather than </t>
  </si>
  <si>
    <t xml:space="preserve">fitted independently. The 10-year forecast assumes the well keeps declining </t>
  </si>
  <si>
    <t xml:space="preserve">the same way it has historically, with no future workovers or shut-ins </t>
  </si>
  <si>
    <t xml:space="preserve">factored in. This version was built and tested using sample production data </t>
  </si>
  <si>
    <t>— see the Data tab for what was actually used.</t>
  </si>
  <si>
    <t>BY NAHIL NIGAR</t>
  </si>
  <si>
    <t xml:space="preserve">This tool was built with guidance from Claude (Anthropic's AI assistant), </t>
  </si>
  <si>
    <t xml:space="preserve">which was used as a learning aid to understand the underlying formulas, </t>
  </si>
  <si>
    <t xml:space="preserve">Excel functions, and the Solver-alternative approach used here. The </t>
  </si>
  <si>
    <t xml:space="preserve">practice dataset used to test and validate the tool during development </t>
  </si>
  <si>
    <t xml:space="preserve">was also AI-generated sample data, standing in for real well production </t>
  </si>
  <si>
    <t>numbers.</t>
  </si>
  <si>
    <t>Month</t>
  </si>
  <si>
    <t>Date</t>
  </si>
  <si>
    <t>Observed Production (bbl/month)</t>
  </si>
  <si>
    <t>PARAMETERS</t>
  </si>
  <si>
    <t>Total SSE (lower = better fit)</t>
  </si>
  <si>
    <t>qi (initial rate)</t>
  </si>
  <si>
    <t>Di (decline rate)</t>
  </si>
  <si>
    <t>Estimated Ultimate Recovery (10-yr EUR)</t>
  </si>
  <si>
    <t>b (hyperbolic exponent)</t>
  </si>
  <si>
    <t>Month (t)</t>
  </si>
  <si>
    <t>Observed Production</t>
  </si>
  <si>
    <t>Modeled Production</t>
  </si>
  <si>
    <t>Squared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</si>
</sst>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000000"/>
      <name val="Aptos Narrow"/>
      <scheme val="minor"/>
    </font>
    <font>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1" xfId="0" applyBorder="1"/>
    <xf numFmtId="2" fontId="0" fillId="0" borderId="0" xfId="0" applyNumberFormat="1"/>
    <xf numFmtId="0" fontId="1" fillId="0" borderId="0" xfId="0" applyFont="1"/>
    <xf numFmtId="0" fontId="1" fillId="0" borderId="1" xfId="0" applyFont="1" applyBorder="1"/>
    <xf numFmtId="4" fontId="0" fillId="0" borderId="1" xfId="0" applyNumberFormat="1" applyBorder="1"/>
    <xf numFmtId="0" fontId="2" fillId="2" borderId="1" xfId="0" applyFont="1" applyFill="1" applyBorder="1"/>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Decline Curve History Match — Practice Well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'History Matching'!$B$7</c:f>
              <c:strCache>
                <c:ptCount val="1"/>
                <c:pt idx="0">
                  <c:v>Observed Production</c:v>
                </c:pt>
              </c:strCache>
            </c:strRef>
          </c:tx>
          <c:spPr>
            <a:ln w="28575" cap="rnd">
              <a:solidFill>
                <a:schemeClr val="accent2"/>
              </a:solidFill>
              <a:round/>
            </a:ln>
            <a:effectLst/>
          </c:spPr>
          <c:marker>
            <c:symbol val="none"/>
          </c:marker>
          <c:val>
            <c:numRef>
              <c:f>'History Matching'!$B$8:$B$19</c:f>
              <c:numCache>
                <c:formatCode>#,##0.00</c:formatCode>
                <c:ptCount val="12"/>
                <c:pt idx="0">
                  <c:v>1000</c:v>
                </c:pt>
                <c:pt idx="1">
                  <c:v>850</c:v>
                </c:pt>
                <c:pt idx="2">
                  <c:v>740</c:v>
                </c:pt>
                <c:pt idx="3">
                  <c:v>650</c:v>
                </c:pt>
                <c:pt idx="4">
                  <c:v>580</c:v>
                </c:pt>
                <c:pt idx="5">
                  <c:v>520</c:v>
                </c:pt>
                <c:pt idx="6">
                  <c:v>470</c:v>
                </c:pt>
                <c:pt idx="7">
                  <c:v>430</c:v>
                </c:pt>
                <c:pt idx="8">
                  <c:v>390</c:v>
                </c:pt>
                <c:pt idx="9">
                  <c:v>360</c:v>
                </c:pt>
                <c:pt idx="10">
                  <c:v>330</c:v>
                </c:pt>
                <c:pt idx="11">
                  <c:v>310</c:v>
                </c:pt>
              </c:numCache>
            </c:numRef>
          </c:val>
          <c:smooth val="0"/>
          <c:extLst>
            <c:ext xmlns:c16="http://schemas.microsoft.com/office/drawing/2014/chart" uri="{C3380CC4-5D6E-409C-BE32-E72D297353CC}">
              <c16:uniqueId val="{00000002-4A3B-4086-8343-AD8FC9C48DB4}"/>
            </c:ext>
          </c:extLst>
        </c:ser>
        <c:ser>
          <c:idx val="2"/>
          <c:order val="1"/>
          <c:tx>
            <c:strRef>
              <c:f>'History Matching'!$C$7</c:f>
              <c:strCache>
                <c:ptCount val="1"/>
                <c:pt idx="0">
                  <c:v>Modeled Production</c:v>
                </c:pt>
              </c:strCache>
            </c:strRef>
          </c:tx>
          <c:spPr>
            <a:ln w="28575" cap="rnd">
              <a:solidFill>
                <a:schemeClr val="accent3"/>
              </a:solidFill>
              <a:round/>
            </a:ln>
            <a:effectLst/>
          </c:spPr>
          <c:marker>
            <c:symbol val="none"/>
          </c:marker>
          <c:val>
            <c:numRef>
              <c:f>'History Matching'!$C$8:$C$19</c:f>
              <c:numCache>
                <c:formatCode>#,##0.00</c:formatCode>
                <c:ptCount val="12"/>
                <c:pt idx="0">
                  <c:v>1000</c:v>
                </c:pt>
                <c:pt idx="1">
                  <c:v>830.54423190349678</c:v>
                </c:pt>
                <c:pt idx="2">
                  <c:v>715.24402548792841</c:v>
                </c:pt>
                <c:pt idx="3">
                  <c:v>631.1443416599019</c:v>
                </c:pt>
                <c:pt idx="4">
                  <c:v>566.77944572499791</c:v>
                </c:pt>
                <c:pt idx="5">
                  <c:v>515.74803348712987</c:v>
                </c:pt>
                <c:pt idx="6">
                  <c:v>474.17916580986753</c:v>
                </c:pt>
                <c:pt idx="7">
                  <c:v>439.58661222812719</c:v>
                </c:pt>
                <c:pt idx="8">
                  <c:v>410.2963437421123</c:v>
                </c:pt>
                <c:pt idx="9">
                  <c:v>385.13754868651256</c:v>
                </c:pt>
                <c:pt idx="10">
                  <c:v>363.26535066454545</c:v>
                </c:pt>
                <c:pt idx="11">
                  <c:v>344.05388734321747</c:v>
                </c:pt>
              </c:numCache>
            </c:numRef>
          </c:val>
          <c:smooth val="0"/>
          <c:extLst>
            <c:ext xmlns:c16="http://schemas.microsoft.com/office/drawing/2014/chart" uri="{C3380CC4-5D6E-409C-BE32-E72D297353CC}">
              <c16:uniqueId val="{00000004-4A3B-4086-8343-AD8FC9C48DB4}"/>
            </c:ext>
          </c:extLst>
        </c:ser>
        <c:dLbls>
          <c:showLegendKey val="0"/>
          <c:showVal val="0"/>
          <c:showCatName val="0"/>
          <c:showSerName val="0"/>
          <c:showPercent val="0"/>
          <c:showBubbleSize val="0"/>
        </c:dLbls>
        <c:smooth val="0"/>
        <c:axId val="2111426055"/>
        <c:axId val="183837704"/>
      </c:lineChart>
      <c:catAx>
        <c:axId val="2111426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7704"/>
        <c:crosses val="autoZero"/>
        <c:auto val="1"/>
        <c:lblAlgn val="ctr"/>
        <c:lblOffset val="100"/>
        <c:noMultiLvlLbl val="0"/>
      </c:catAx>
      <c:valAx>
        <c:axId val="183837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Production Rate (bbl/month)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26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219075</xdr:colOff>
      <xdr:row>4</xdr:row>
      <xdr:rowOff>85725</xdr:rowOff>
    </xdr:from>
    <xdr:to>
      <xdr:col>7</xdr:col>
      <xdr:colOff>552450</xdr:colOff>
      <xdr:row>18</xdr:row>
      <xdr:rowOff>161925</xdr:rowOff>
    </xdr:to>
    <xdr:graphicFrame macro="">
      <xdr:nvGraphicFramePr>
        <xdr:cNvPr id="2" name="Chart 1">
          <a:extLst>
            <a:ext uri="{FF2B5EF4-FFF2-40B4-BE49-F238E27FC236}">
              <a16:creationId xmlns:a16="http://schemas.microsoft.com/office/drawing/2014/main" id="{7BEF03B5-C785-297C-42E7-0B0BED596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1B73-DBDE-4D55-9571-AB8598EEE5E9}">
  <dimension ref="A1:A31"/>
  <sheetViews>
    <sheetView workbookViewId="0">
      <selection activeCell="G13" sqref="G13"/>
    </sheetView>
  </sheetViews>
  <sheetFormatPr defaultRowHeight="15"/>
  <cols>
    <col min="1" max="1" width="68.85546875" customWidth="1"/>
  </cols>
  <sheetData>
    <row r="1" spans="1:1">
      <c r="A1" s="3" t="s">
        <v>0</v>
      </c>
    </row>
    <row r="3" spans="1:1">
      <c r="A3" s="3" t="s">
        <v>1</v>
      </c>
    </row>
    <row r="4" spans="1:1" ht="94.5" customHeight="1">
      <c r="A4" s="7" t="s">
        <v>2</v>
      </c>
    </row>
    <row r="6" spans="1:1">
      <c r="A6" s="3" t="s">
        <v>3</v>
      </c>
    </row>
    <row r="7" spans="1:1" ht="139.5" customHeight="1">
      <c r="A7" s="7" t="s">
        <v>4</v>
      </c>
    </row>
    <row r="9" spans="1:1">
      <c r="A9" s="8" t="s">
        <v>5</v>
      </c>
    </row>
    <row r="10" spans="1:1" ht="57.75">
      <c r="A10" s="7" t="s">
        <v>6</v>
      </c>
    </row>
    <row r="12" spans="1:1">
      <c r="A12" s="3" t="s">
        <v>7</v>
      </c>
    </row>
    <row r="13" spans="1:1" ht="101.25">
      <c r="A13" s="7" t="s">
        <v>8</v>
      </c>
    </row>
    <row r="15" spans="1:1">
      <c r="A15" s="3" t="s">
        <v>9</v>
      </c>
    </row>
    <row r="16" spans="1:1" ht="72.75">
      <c r="A16" s="7" t="s">
        <v>10</v>
      </c>
    </row>
    <row r="18" spans="1:1">
      <c r="A18" s="3" t="s">
        <v>11</v>
      </c>
    </row>
    <row r="19" spans="1:1">
      <c r="A19" t="s">
        <v>12</v>
      </c>
    </row>
    <row r="20" spans="1:1">
      <c r="A20" t="s">
        <v>13</v>
      </c>
    </row>
    <row r="21" spans="1:1">
      <c r="A21" t="s">
        <v>14</v>
      </c>
    </row>
    <row r="22" spans="1:1">
      <c r="A22" t="s">
        <v>15</v>
      </c>
    </row>
    <row r="23" spans="1:1">
      <c r="A23" t="s">
        <v>16</v>
      </c>
    </row>
    <row r="25" spans="1:1">
      <c r="A25" s="3" t="s">
        <v>17</v>
      </c>
    </row>
    <row r="26" spans="1:1">
      <c r="A26" t="s">
        <v>18</v>
      </c>
    </row>
    <row r="27" spans="1:1">
      <c r="A27" t="s">
        <v>19</v>
      </c>
    </row>
    <row r="28" spans="1:1">
      <c r="A28" t="s">
        <v>20</v>
      </c>
    </row>
    <row r="29" spans="1:1">
      <c r="A29" t="s">
        <v>21</v>
      </c>
    </row>
    <row r="30" spans="1:1">
      <c r="A30" t="s">
        <v>22</v>
      </c>
    </row>
    <row r="31" spans="1:1">
      <c r="A3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2"/>
  <sheetViews>
    <sheetView workbookViewId="0">
      <pane ySplit="1" topLeftCell="A2" activePane="bottomLeft" state="frozen"/>
      <selection pane="bottomLeft" activeCell="J15" sqref="J15"/>
    </sheetView>
  </sheetViews>
  <sheetFormatPr defaultRowHeight="15"/>
  <cols>
    <col min="3" max="3" width="29.140625" customWidth="1"/>
  </cols>
  <sheetData>
    <row r="1" spans="1:3">
      <c r="A1" s="1" t="s">
        <v>24</v>
      </c>
      <c r="B1" s="1" t="s">
        <v>25</v>
      </c>
      <c r="C1" s="1" t="s">
        <v>26</v>
      </c>
    </row>
    <row r="2" spans="1:3">
      <c r="A2" s="1">
        <v>0</v>
      </c>
      <c r="B2" s="1"/>
      <c r="C2" s="1">
        <v>1000</v>
      </c>
    </row>
    <row r="3" spans="1:3">
      <c r="A3" s="1">
        <v>1</v>
      </c>
      <c r="B3" s="1"/>
      <c r="C3" s="1">
        <v>850</v>
      </c>
    </row>
    <row r="4" spans="1:3">
      <c r="A4" s="1">
        <v>2</v>
      </c>
      <c r="B4" s="1"/>
      <c r="C4" s="1">
        <v>740</v>
      </c>
    </row>
    <row r="5" spans="1:3">
      <c r="A5" s="1">
        <v>3</v>
      </c>
      <c r="B5" s="1"/>
      <c r="C5" s="1">
        <v>650</v>
      </c>
    </row>
    <row r="6" spans="1:3">
      <c r="A6" s="1">
        <v>4</v>
      </c>
      <c r="B6" s="1"/>
      <c r="C6" s="1">
        <v>580</v>
      </c>
    </row>
    <row r="7" spans="1:3">
      <c r="A7" s="1">
        <v>5</v>
      </c>
      <c r="B7" s="1"/>
      <c r="C7" s="1">
        <v>520</v>
      </c>
    </row>
    <row r="8" spans="1:3">
      <c r="A8" s="1">
        <v>6</v>
      </c>
      <c r="B8" s="1"/>
      <c r="C8" s="1">
        <v>470</v>
      </c>
    </row>
    <row r="9" spans="1:3">
      <c r="A9" s="1">
        <v>7</v>
      </c>
      <c r="B9" s="1"/>
      <c r="C9" s="1">
        <v>430</v>
      </c>
    </row>
    <row r="10" spans="1:3">
      <c r="A10" s="1">
        <v>8</v>
      </c>
      <c r="B10" s="1"/>
      <c r="C10" s="1">
        <v>390</v>
      </c>
    </row>
    <row r="11" spans="1:3">
      <c r="A11" s="1">
        <v>9</v>
      </c>
      <c r="B11" s="1"/>
      <c r="C11" s="1">
        <v>360</v>
      </c>
    </row>
    <row r="12" spans="1:3">
      <c r="A12" s="1">
        <v>10</v>
      </c>
      <c r="B12" s="1"/>
      <c r="C12" s="1">
        <v>330</v>
      </c>
    </row>
    <row r="13" spans="1:3">
      <c r="A13" s="1">
        <v>11</v>
      </c>
      <c r="B13" s="1"/>
      <c r="C13" s="1">
        <v>310</v>
      </c>
    </row>
    <row r="14" spans="1:3">
      <c r="A14" s="1">
        <v>12</v>
      </c>
      <c r="B14" s="1"/>
      <c r="C14" s="1"/>
    </row>
    <row r="15" spans="1:3">
      <c r="A15" s="1">
        <v>13</v>
      </c>
      <c r="B15" s="1"/>
      <c r="C15" s="1"/>
    </row>
    <row r="16" spans="1:3">
      <c r="A16" s="1">
        <v>14</v>
      </c>
      <c r="B16" s="1"/>
      <c r="C16" s="1"/>
    </row>
    <row r="17" spans="1:3">
      <c r="A17" s="1">
        <v>15</v>
      </c>
      <c r="B17" s="1"/>
      <c r="C17" s="1"/>
    </row>
    <row r="18" spans="1:3">
      <c r="A18" s="1">
        <v>16</v>
      </c>
      <c r="B18" s="1"/>
      <c r="C18" s="1"/>
    </row>
    <row r="19" spans="1:3">
      <c r="A19" s="1">
        <v>17</v>
      </c>
      <c r="B19" s="1"/>
      <c r="C19" s="1"/>
    </row>
    <row r="20" spans="1:3">
      <c r="A20" s="1">
        <v>18</v>
      </c>
      <c r="B20" s="1"/>
      <c r="C20" s="1"/>
    </row>
    <row r="21" spans="1:3">
      <c r="A21" s="1">
        <v>19</v>
      </c>
      <c r="B21" s="1"/>
      <c r="C21" s="1"/>
    </row>
    <row r="22" spans="1:3">
      <c r="A22" s="1">
        <v>20</v>
      </c>
      <c r="B22" s="1"/>
      <c r="C22" s="1"/>
    </row>
    <row r="23" spans="1:3">
      <c r="A23" s="1">
        <v>21</v>
      </c>
      <c r="B23" s="1"/>
      <c r="C23" s="1"/>
    </row>
    <row r="24" spans="1:3">
      <c r="A24" s="1">
        <v>22</v>
      </c>
      <c r="B24" s="1"/>
      <c r="C24" s="1"/>
    </row>
    <row r="25" spans="1:3">
      <c r="A25" s="1">
        <v>23</v>
      </c>
      <c r="B25" s="1"/>
      <c r="C25" s="1"/>
    </row>
    <row r="26" spans="1:3">
      <c r="A26" s="1">
        <v>24</v>
      </c>
      <c r="B26" s="1"/>
      <c r="C26" s="1"/>
    </row>
    <row r="27" spans="1:3">
      <c r="A27" s="1">
        <v>25</v>
      </c>
      <c r="B27" s="1"/>
      <c r="C27" s="1"/>
    </row>
    <row r="28" spans="1:3">
      <c r="A28" s="1">
        <v>26</v>
      </c>
      <c r="B28" s="1"/>
      <c r="C28" s="1"/>
    </row>
    <row r="29" spans="1:3">
      <c r="A29" s="1">
        <v>27</v>
      </c>
      <c r="B29" s="1"/>
      <c r="C29" s="1"/>
    </row>
    <row r="30" spans="1:3">
      <c r="A30" s="1">
        <v>28</v>
      </c>
      <c r="B30" s="1"/>
      <c r="C30" s="1"/>
    </row>
    <row r="31" spans="1:3">
      <c r="A31" s="1">
        <v>29</v>
      </c>
      <c r="B31" s="1"/>
      <c r="C31" s="1"/>
    </row>
    <row r="32" spans="1:3">
      <c r="A32" s="1">
        <v>30</v>
      </c>
      <c r="B32" s="1"/>
      <c r="C32" s="1"/>
    </row>
    <row r="33" spans="1:3">
      <c r="A33" s="1">
        <v>31</v>
      </c>
      <c r="B33" s="1"/>
      <c r="C33" s="1"/>
    </row>
    <row r="34" spans="1:3">
      <c r="A34" s="1">
        <v>32</v>
      </c>
      <c r="B34" s="1"/>
      <c r="C34" s="1"/>
    </row>
    <row r="35" spans="1:3">
      <c r="A35" s="1">
        <v>33</v>
      </c>
      <c r="B35" s="1"/>
      <c r="C35" s="1"/>
    </row>
    <row r="36" spans="1:3">
      <c r="A36" s="1">
        <v>34</v>
      </c>
      <c r="B36" s="1"/>
      <c r="C36" s="1"/>
    </row>
    <row r="37" spans="1:3">
      <c r="A37" s="1">
        <v>35</v>
      </c>
      <c r="B37" s="1"/>
      <c r="C37" s="1"/>
    </row>
    <row r="38" spans="1:3">
      <c r="A38" s="1">
        <v>36</v>
      </c>
      <c r="B38" s="1"/>
      <c r="C38" s="1"/>
    </row>
    <row r="39" spans="1:3">
      <c r="A39" s="1">
        <v>37</v>
      </c>
      <c r="B39" s="1"/>
      <c r="C39" s="1"/>
    </row>
    <row r="40" spans="1:3">
      <c r="A40" s="1">
        <v>38</v>
      </c>
      <c r="B40" s="1"/>
      <c r="C40" s="1"/>
    </row>
    <row r="41" spans="1:3">
      <c r="A41" s="1">
        <v>39</v>
      </c>
      <c r="B41" s="1"/>
      <c r="C41" s="1"/>
    </row>
    <row r="42" spans="1:3">
      <c r="A42" s="1">
        <v>40</v>
      </c>
      <c r="B42" s="1"/>
      <c r="C42" s="1"/>
    </row>
    <row r="43" spans="1:3">
      <c r="A43" s="1">
        <v>41</v>
      </c>
      <c r="B43" s="1"/>
      <c r="C43" s="1"/>
    </row>
    <row r="44" spans="1:3">
      <c r="A44" s="1">
        <v>42</v>
      </c>
      <c r="B44" s="1"/>
      <c r="C44" s="1"/>
    </row>
    <row r="45" spans="1:3">
      <c r="A45" s="1">
        <v>43</v>
      </c>
      <c r="B45" s="1"/>
      <c r="C45" s="1"/>
    </row>
    <row r="46" spans="1:3">
      <c r="A46" s="1">
        <v>44</v>
      </c>
      <c r="B46" s="1"/>
      <c r="C46" s="1"/>
    </row>
    <row r="47" spans="1:3">
      <c r="A47" s="1">
        <v>45</v>
      </c>
      <c r="B47" s="1"/>
      <c r="C47" s="1"/>
    </row>
    <row r="48" spans="1:3">
      <c r="A48" s="1">
        <v>46</v>
      </c>
      <c r="B48" s="1"/>
      <c r="C48" s="1"/>
    </row>
    <row r="49" spans="1:3">
      <c r="A49" s="1">
        <v>47</v>
      </c>
      <c r="B49" s="1"/>
      <c r="C49" s="1"/>
    </row>
    <row r="50" spans="1:3">
      <c r="A50" s="1">
        <v>48</v>
      </c>
      <c r="B50" s="1"/>
      <c r="C50" s="1"/>
    </row>
    <row r="51" spans="1:3">
      <c r="A51" s="1">
        <v>49</v>
      </c>
      <c r="B51" s="1"/>
      <c r="C51" s="1"/>
    </row>
    <row r="52" spans="1:3">
      <c r="A52" s="1">
        <v>50</v>
      </c>
      <c r="B52" s="1"/>
      <c r="C52" s="1"/>
    </row>
    <row r="53" spans="1:3">
      <c r="A53" s="1">
        <v>51</v>
      </c>
      <c r="B53" s="1"/>
      <c r="C53" s="1"/>
    </row>
    <row r="54" spans="1:3">
      <c r="A54" s="1">
        <v>52</v>
      </c>
      <c r="B54" s="1"/>
      <c r="C54" s="1"/>
    </row>
    <row r="55" spans="1:3">
      <c r="A55" s="1">
        <v>53</v>
      </c>
      <c r="B55" s="1"/>
      <c r="C55" s="1"/>
    </row>
    <row r="56" spans="1:3">
      <c r="A56" s="1">
        <v>54</v>
      </c>
      <c r="B56" s="1"/>
      <c r="C56" s="1"/>
    </row>
    <row r="57" spans="1:3">
      <c r="A57" s="1">
        <v>55</v>
      </c>
      <c r="B57" s="1"/>
      <c r="C57" s="1"/>
    </row>
    <row r="58" spans="1:3">
      <c r="A58" s="1">
        <v>56</v>
      </c>
      <c r="B58" s="1"/>
      <c r="C58" s="1"/>
    </row>
    <row r="59" spans="1:3">
      <c r="A59" s="1">
        <v>57</v>
      </c>
      <c r="B59" s="1"/>
      <c r="C59" s="1"/>
    </row>
    <row r="60" spans="1:3">
      <c r="A60" s="1">
        <v>58</v>
      </c>
      <c r="B60" s="1"/>
      <c r="C60" s="1"/>
    </row>
    <row r="61" spans="1:3">
      <c r="A61" s="1">
        <v>59</v>
      </c>
      <c r="B61" s="1"/>
      <c r="C61" s="1"/>
    </row>
    <row r="62" spans="1:3">
      <c r="A62" s="1">
        <v>60</v>
      </c>
      <c r="B62" s="1"/>
      <c r="C62" s="1"/>
    </row>
    <row r="63" spans="1:3">
      <c r="A63" s="1">
        <v>61</v>
      </c>
      <c r="B63" s="1"/>
      <c r="C63" s="1"/>
    </row>
    <row r="64" spans="1:3">
      <c r="A64" s="1">
        <v>62</v>
      </c>
      <c r="B64" s="1"/>
      <c r="C64" s="1"/>
    </row>
    <row r="65" spans="1:3">
      <c r="A65" s="1">
        <v>63</v>
      </c>
      <c r="B65" s="1"/>
      <c r="C65" s="1"/>
    </row>
    <row r="66" spans="1:3">
      <c r="A66" s="1">
        <v>64</v>
      </c>
      <c r="B66" s="1"/>
      <c r="C66" s="1"/>
    </row>
    <row r="67" spans="1:3">
      <c r="A67" s="1">
        <v>65</v>
      </c>
      <c r="B67" s="1"/>
      <c r="C67" s="1"/>
    </row>
    <row r="68" spans="1:3">
      <c r="A68" s="1">
        <v>66</v>
      </c>
      <c r="B68" s="1"/>
      <c r="C68" s="1"/>
    </row>
    <row r="69" spans="1:3">
      <c r="A69" s="1">
        <v>67</v>
      </c>
      <c r="B69" s="1"/>
      <c r="C69" s="1"/>
    </row>
    <row r="70" spans="1:3">
      <c r="A70" s="1">
        <v>68</v>
      </c>
      <c r="B70" s="1"/>
      <c r="C70" s="1"/>
    </row>
    <row r="71" spans="1:3">
      <c r="A71" s="1">
        <v>69</v>
      </c>
      <c r="B71" s="1"/>
      <c r="C71" s="1"/>
    </row>
    <row r="72" spans="1:3">
      <c r="A72" s="1">
        <v>70</v>
      </c>
      <c r="B72" s="1"/>
      <c r="C72" s="1"/>
    </row>
    <row r="73" spans="1:3">
      <c r="A73" s="1">
        <v>71</v>
      </c>
      <c r="B73" s="1"/>
      <c r="C73" s="1"/>
    </row>
    <row r="74" spans="1:3">
      <c r="A74" s="1">
        <v>72</v>
      </c>
      <c r="B74" s="1"/>
      <c r="C74" s="1"/>
    </row>
    <row r="75" spans="1:3">
      <c r="A75" s="1">
        <v>73</v>
      </c>
      <c r="B75" s="1"/>
      <c r="C75" s="1"/>
    </row>
    <row r="76" spans="1:3">
      <c r="A76" s="1">
        <v>74</v>
      </c>
      <c r="B76" s="1"/>
      <c r="C76" s="1"/>
    </row>
    <row r="77" spans="1:3">
      <c r="A77" s="1">
        <v>75</v>
      </c>
      <c r="B77" s="1"/>
      <c r="C77" s="1"/>
    </row>
    <row r="78" spans="1:3">
      <c r="A78" s="1">
        <v>76</v>
      </c>
      <c r="B78" s="1"/>
      <c r="C78" s="1"/>
    </row>
    <row r="79" spans="1:3">
      <c r="A79" s="1">
        <v>77</v>
      </c>
      <c r="B79" s="1"/>
      <c r="C79" s="1"/>
    </row>
    <row r="80" spans="1:3">
      <c r="A80" s="1">
        <v>78</v>
      </c>
      <c r="B80" s="1"/>
      <c r="C80" s="1"/>
    </row>
    <row r="81" spans="1:3">
      <c r="A81" s="1">
        <v>79</v>
      </c>
      <c r="B81" s="1"/>
      <c r="C81" s="1"/>
    </row>
    <row r="82" spans="1:3">
      <c r="A82" s="1">
        <v>80</v>
      </c>
      <c r="B82" s="1"/>
      <c r="C82" s="1"/>
    </row>
    <row r="83" spans="1:3">
      <c r="A83" s="1">
        <v>81</v>
      </c>
      <c r="B83" s="1"/>
      <c r="C83" s="1"/>
    </row>
    <row r="84" spans="1:3">
      <c r="A84" s="1">
        <v>82</v>
      </c>
      <c r="B84" s="1"/>
      <c r="C84" s="1"/>
    </row>
    <row r="85" spans="1:3">
      <c r="A85" s="1">
        <v>83</v>
      </c>
      <c r="B85" s="1"/>
      <c r="C85" s="1"/>
    </row>
    <row r="86" spans="1:3">
      <c r="A86" s="1">
        <v>84</v>
      </c>
      <c r="B86" s="1"/>
      <c r="C86" s="1"/>
    </row>
    <row r="87" spans="1:3">
      <c r="A87" s="1">
        <v>85</v>
      </c>
      <c r="B87" s="1"/>
      <c r="C87" s="1"/>
    </row>
    <row r="88" spans="1:3">
      <c r="A88" s="1">
        <v>86</v>
      </c>
      <c r="B88" s="1"/>
      <c r="C88" s="1"/>
    </row>
    <row r="89" spans="1:3">
      <c r="A89" s="1">
        <v>87</v>
      </c>
      <c r="B89" s="1"/>
      <c r="C89" s="1"/>
    </row>
    <row r="90" spans="1:3">
      <c r="A90" s="1">
        <v>88</v>
      </c>
      <c r="B90" s="1"/>
      <c r="C90" s="1"/>
    </row>
    <row r="91" spans="1:3">
      <c r="A91" s="1">
        <v>89</v>
      </c>
      <c r="B91" s="1"/>
      <c r="C91" s="1"/>
    </row>
    <row r="92" spans="1:3">
      <c r="A92" s="1">
        <v>90</v>
      </c>
      <c r="B92" s="1"/>
      <c r="C92" s="1"/>
    </row>
    <row r="93" spans="1:3">
      <c r="A93" s="1">
        <v>91</v>
      </c>
      <c r="B93" s="1"/>
      <c r="C93" s="1"/>
    </row>
    <row r="94" spans="1:3">
      <c r="A94" s="1">
        <v>92</v>
      </c>
      <c r="B94" s="1"/>
      <c r="C94" s="1"/>
    </row>
    <row r="95" spans="1:3">
      <c r="A95" s="1">
        <v>93</v>
      </c>
      <c r="B95" s="1"/>
      <c r="C95" s="1"/>
    </row>
    <row r="96" spans="1:3">
      <c r="A96" s="1">
        <v>94</v>
      </c>
      <c r="B96" s="1"/>
      <c r="C96" s="1"/>
    </row>
    <row r="97" spans="1:3">
      <c r="A97" s="1">
        <v>95</v>
      </c>
      <c r="B97" s="1"/>
      <c r="C97" s="1"/>
    </row>
    <row r="98" spans="1:3">
      <c r="A98" s="1">
        <v>96</v>
      </c>
      <c r="B98" s="1"/>
      <c r="C98" s="1"/>
    </row>
    <row r="99" spans="1:3">
      <c r="A99" s="1">
        <v>97</v>
      </c>
      <c r="B99" s="1"/>
      <c r="C99" s="1"/>
    </row>
    <row r="100" spans="1:3">
      <c r="A100" s="1">
        <v>98</v>
      </c>
      <c r="B100" s="1"/>
      <c r="C100" s="1"/>
    </row>
    <row r="101" spans="1:3">
      <c r="A101" s="1">
        <v>99</v>
      </c>
      <c r="B101" s="1"/>
      <c r="C101" s="1"/>
    </row>
    <row r="102" spans="1:3">
      <c r="A102" s="1">
        <v>100</v>
      </c>
      <c r="B102" s="1"/>
      <c r="C102" s="1"/>
    </row>
    <row r="103" spans="1:3">
      <c r="A103" s="1">
        <v>101</v>
      </c>
      <c r="B103" s="1"/>
      <c r="C103" s="1"/>
    </row>
    <row r="104" spans="1:3">
      <c r="A104" s="1">
        <v>102</v>
      </c>
      <c r="B104" s="1"/>
      <c r="C104" s="1"/>
    </row>
    <row r="105" spans="1:3">
      <c r="A105" s="1">
        <v>103</v>
      </c>
      <c r="B105" s="1"/>
      <c r="C105" s="1"/>
    </row>
    <row r="106" spans="1:3">
      <c r="A106" s="1">
        <v>104</v>
      </c>
      <c r="B106" s="1"/>
      <c r="C106" s="1"/>
    </row>
    <row r="107" spans="1:3">
      <c r="A107" s="1">
        <v>105</v>
      </c>
      <c r="B107" s="1"/>
      <c r="C107" s="1"/>
    </row>
    <row r="108" spans="1:3">
      <c r="A108" s="1">
        <v>106</v>
      </c>
      <c r="B108" s="1"/>
      <c r="C108" s="1"/>
    </row>
    <row r="109" spans="1:3">
      <c r="A109" s="1">
        <v>107</v>
      </c>
      <c r="B109" s="1"/>
      <c r="C109" s="1"/>
    </row>
    <row r="110" spans="1:3">
      <c r="A110" s="1">
        <v>108</v>
      </c>
      <c r="B110" s="1"/>
      <c r="C110" s="1"/>
    </row>
    <row r="111" spans="1:3">
      <c r="A111" s="1">
        <v>109</v>
      </c>
      <c r="B111" s="1"/>
      <c r="C111" s="1"/>
    </row>
    <row r="112" spans="1:3">
      <c r="A112" s="1">
        <v>110</v>
      </c>
      <c r="B112" s="1"/>
      <c r="C112" s="1"/>
    </row>
    <row r="113" spans="1:3">
      <c r="A113" s="1">
        <v>111</v>
      </c>
      <c r="B113" s="1"/>
      <c r="C113" s="1"/>
    </row>
    <row r="114" spans="1:3">
      <c r="A114" s="1">
        <v>112</v>
      </c>
      <c r="B114" s="1"/>
      <c r="C114" s="1"/>
    </row>
    <row r="115" spans="1:3">
      <c r="A115" s="1">
        <v>113</v>
      </c>
      <c r="B115" s="1"/>
      <c r="C115" s="1"/>
    </row>
    <row r="116" spans="1:3">
      <c r="A116" s="1">
        <v>114</v>
      </c>
      <c r="B116" s="1"/>
      <c r="C116" s="1"/>
    </row>
    <row r="117" spans="1:3">
      <c r="A117" s="1">
        <v>115</v>
      </c>
      <c r="B117" s="1"/>
      <c r="C117" s="1"/>
    </row>
    <row r="118" spans="1:3">
      <c r="A118" s="1">
        <v>116</v>
      </c>
      <c r="B118" s="1"/>
      <c r="C118" s="1"/>
    </row>
    <row r="119" spans="1:3">
      <c r="A119" s="1">
        <v>117</v>
      </c>
      <c r="B119" s="1"/>
      <c r="C119" s="1"/>
    </row>
    <row r="120" spans="1:3">
      <c r="A120" s="1">
        <v>118</v>
      </c>
      <c r="B120" s="1"/>
      <c r="C120" s="1"/>
    </row>
    <row r="121" spans="1:3">
      <c r="A121" s="1">
        <v>119</v>
      </c>
      <c r="B121" s="1"/>
      <c r="C121" s="1"/>
    </row>
    <row r="122" spans="1:3">
      <c r="A122" s="1">
        <v>120</v>
      </c>
      <c r="B122" s="1"/>
      <c r="C12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4D5ED-9333-4109-B4F0-00BD840B10B4}">
  <dimension ref="A1:F127"/>
  <sheetViews>
    <sheetView tabSelected="1" topLeftCell="A106" workbookViewId="0">
      <selection activeCell="E127" sqref="E127"/>
    </sheetView>
  </sheetViews>
  <sheetFormatPr defaultRowHeight="15"/>
  <cols>
    <col min="1" max="1" width="20.7109375" customWidth="1"/>
    <col min="2" max="2" width="19.42578125" customWidth="1"/>
    <col min="3" max="3" width="18.28515625" customWidth="1"/>
    <col min="4" max="4" width="12.7109375" customWidth="1"/>
    <col min="5" max="5" width="36" customWidth="1"/>
    <col min="6" max="6" width="15.5703125" customWidth="1"/>
  </cols>
  <sheetData>
    <row r="1" spans="1:6">
      <c r="A1" s="1" t="s">
        <v>27</v>
      </c>
      <c r="B1" s="1"/>
      <c r="E1" s="4" t="s">
        <v>28</v>
      </c>
      <c r="F1" s="1">
        <f>SUM(D8:D27)</f>
        <v>4959.2405944339425</v>
      </c>
    </row>
    <row r="2" spans="1:6">
      <c r="A2" s="1" t="s">
        <v>29</v>
      </c>
      <c r="B2" s="1">
        <f>Data!C2</f>
        <v>1000</v>
      </c>
    </row>
    <row r="3" spans="1:6">
      <c r="A3" s="1" t="s">
        <v>30</v>
      </c>
      <c r="B3" s="1">
        <v>0.21</v>
      </c>
      <c r="E3" s="4" t="s">
        <v>31</v>
      </c>
      <c r="F3" s="5">
        <f>SUM(C8:C127)</f>
        <v>20368.528344109895</v>
      </c>
    </row>
    <row r="4" spans="1:6">
      <c r="A4" s="1" t="s">
        <v>32</v>
      </c>
      <c r="B4" s="1">
        <v>1.3</v>
      </c>
      <c r="D4" s="2"/>
    </row>
    <row r="7" spans="1:6">
      <c r="A7" s="6" t="s">
        <v>33</v>
      </c>
      <c r="B7" s="6" t="s">
        <v>34</v>
      </c>
      <c r="C7" s="6" t="s">
        <v>35</v>
      </c>
      <c r="D7" s="6" t="s">
        <v>36</v>
      </c>
    </row>
    <row r="8" spans="1:6">
      <c r="A8" s="1">
        <f>Data!A2</f>
        <v>0</v>
      </c>
      <c r="B8" s="5">
        <f>Data!C2</f>
        <v>1000</v>
      </c>
      <c r="C8" s="5">
        <f>$B$2*(1+$B$4*$B$3*A8)^(-1/$B$4)</f>
        <v>1000</v>
      </c>
      <c r="D8" s="1">
        <f>(B8-C8)^2</f>
        <v>0</v>
      </c>
    </row>
    <row r="9" spans="1:6">
      <c r="A9" s="1">
        <f>Data!A3</f>
        <v>1</v>
      </c>
      <c r="B9" s="5">
        <f>Data!C3</f>
        <v>850</v>
      </c>
      <c r="C9" s="5">
        <f t="shared" ref="C9:C72" si="0">$B$2*(1+$B$4*$B$3*A9)^(-1/$B$4)</f>
        <v>830.54423190349678</v>
      </c>
      <c r="D9" s="1">
        <f t="shared" ref="D9:D27" si="1">(B9-C9)^2</f>
        <v>378.52691222491256</v>
      </c>
    </row>
    <row r="10" spans="1:6">
      <c r="A10" s="1">
        <f>Data!A4</f>
        <v>2</v>
      </c>
      <c r="B10" s="5">
        <f>Data!C4</f>
        <v>740</v>
      </c>
      <c r="C10" s="5">
        <f t="shared" si="0"/>
        <v>715.24402548792841</v>
      </c>
      <c r="D10" s="1">
        <f t="shared" si="1"/>
        <v>612.85827404233817</v>
      </c>
    </row>
    <row r="11" spans="1:6">
      <c r="A11" s="1">
        <f>Data!A5</f>
        <v>3</v>
      </c>
      <c r="B11" s="5">
        <f>Data!C5</f>
        <v>650</v>
      </c>
      <c r="C11" s="5">
        <f t="shared" si="0"/>
        <v>631.1443416599019</v>
      </c>
      <c r="D11" s="1">
        <f t="shared" si="1"/>
        <v>355.53585143851114</v>
      </c>
    </row>
    <row r="12" spans="1:6">
      <c r="A12" s="1">
        <f>Data!A6</f>
        <v>4</v>
      </c>
      <c r="B12" s="5">
        <f>Data!C6</f>
        <v>580</v>
      </c>
      <c r="C12" s="5">
        <f t="shared" si="0"/>
        <v>566.77944572499791</v>
      </c>
      <c r="D12" s="1">
        <f t="shared" si="1"/>
        <v>174.78305533827594</v>
      </c>
    </row>
    <row r="13" spans="1:6">
      <c r="A13" s="1">
        <f>Data!A7</f>
        <v>5</v>
      </c>
      <c r="B13" s="5">
        <f>Data!C7</f>
        <v>520</v>
      </c>
      <c r="C13" s="5">
        <f t="shared" si="0"/>
        <v>515.74803348712987</v>
      </c>
      <c r="D13" s="1">
        <f t="shared" si="1"/>
        <v>18.079219226568942</v>
      </c>
    </row>
    <row r="14" spans="1:6">
      <c r="A14" s="1">
        <f>Data!A8</f>
        <v>6</v>
      </c>
      <c r="B14" s="5">
        <f>Data!C8</f>
        <v>470</v>
      </c>
      <c r="C14" s="5">
        <f t="shared" si="0"/>
        <v>474.17916580986753</v>
      </c>
      <c r="D14" s="1">
        <f t="shared" si="1"/>
        <v>17.465426866365704</v>
      </c>
    </row>
    <row r="15" spans="1:6">
      <c r="A15" s="1">
        <f>Data!A9</f>
        <v>7</v>
      </c>
      <c r="B15" s="5">
        <f>Data!C9</f>
        <v>430</v>
      </c>
      <c r="C15" s="5">
        <f t="shared" si="0"/>
        <v>439.58661222812719</v>
      </c>
      <c r="D15" s="1">
        <f t="shared" si="1"/>
        <v>91.90313401247785</v>
      </c>
    </row>
    <row r="16" spans="1:6">
      <c r="A16" s="1">
        <f>Data!A10</f>
        <v>8</v>
      </c>
      <c r="B16" s="5">
        <f>Data!C10</f>
        <v>390</v>
      </c>
      <c r="C16" s="5">
        <f t="shared" si="0"/>
        <v>410.2963437421123</v>
      </c>
      <c r="D16" s="1">
        <f t="shared" si="1"/>
        <v>411.94156929798106</v>
      </c>
    </row>
    <row r="17" spans="1:4">
      <c r="A17" s="1">
        <f>Data!A11</f>
        <v>9</v>
      </c>
      <c r="B17" s="5">
        <f>Data!C11</f>
        <v>360</v>
      </c>
      <c r="C17" s="5">
        <f t="shared" si="0"/>
        <v>385.13754868651256</v>
      </c>
      <c r="D17" s="1">
        <f t="shared" si="1"/>
        <v>631.89635396678932</v>
      </c>
    </row>
    <row r="18" spans="1:4">
      <c r="A18" s="1">
        <f>Data!A12</f>
        <v>10</v>
      </c>
      <c r="B18" s="5">
        <f>Data!C12</f>
        <v>330</v>
      </c>
      <c r="C18" s="5">
        <f t="shared" si="0"/>
        <v>363.26535066454545</v>
      </c>
      <c r="D18" s="1">
        <f t="shared" si="1"/>
        <v>1106.5835548351745</v>
      </c>
    </row>
    <row r="19" spans="1:4">
      <c r="A19" s="1">
        <f>Data!A13</f>
        <v>11</v>
      </c>
      <c r="B19" s="5">
        <f>Data!C13</f>
        <v>310</v>
      </c>
      <c r="C19" s="5">
        <f t="shared" si="0"/>
        <v>344.05388734321747</v>
      </c>
      <c r="D19" s="1">
        <f t="shared" si="1"/>
        <v>1159.6672431845468</v>
      </c>
    </row>
    <row r="20" spans="1:4">
      <c r="A20" s="1">
        <v>12</v>
      </c>
      <c r="B20" s="5"/>
      <c r="C20" s="5">
        <f t="shared" si="0"/>
        <v>327.02909104982717</v>
      </c>
      <c r="D20" s="1"/>
    </row>
    <row r="21" spans="1:4">
      <c r="A21" s="1">
        <f>Data!A15</f>
        <v>13</v>
      </c>
      <c r="B21" s="5"/>
      <c r="C21" s="5">
        <f t="shared" si="0"/>
        <v>311.82491872728741</v>
      </c>
      <c r="D21" s="1"/>
    </row>
    <row r="22" spans="1:4">
      <c r="A22" s="1">
        <f>Data!A16</f>
        <v>14</v>
      </c>
      <c r="B22" s="5"/>
      <c r="C22" s="5">
        <f t="shared" si="0"/>
        <v>298.15397979650817</v>
      </c>
      <c r="D22" s="1"/>
    </row>
    <row r="23" spans="1:4">
      <c r="A23" s="1">
        <f>Data!A17</f>
        <v>15</v>
      </c>
      <c r="B23" s="5"/>
      <c r="C23" s="5">
        <f t="shared" si="0"/>
        <v>285.7873043551416</v>
      </c>
      <c r="D23" s="1"/>
    </row>
    <row r="24" spans="1:4">
      <c r="A24" s="1">
        <f>Data!A18</f>
        <v>16</v>
      </c>
      <c r="B24" s="5"/>
      <c r="C24" s="5">
        <f t="shared" si="0"/>
        <v>274.54008494624338</v>
      </c>
      <c r="D24" s="1"/>
    </row>
    <row r="25" spans="1:4">
      <c r="A25" s="1">
        <f>Data!A19</f>
        <v>17</v>
      </c>
      <c r="B25" s="5"/>
      <c r="C25" s="5">
        <f t="shared" si="0"/>
        <v>264.26142311244587</v>
      </c>
      <c r="D25" s="1"/>
    </row>
    <row r="26" spans="1:4">
      <c r="A26" s="1">
        <f>Data!A20</f>
        <v>18</v>
      </c>
      <c r="B26" s="5"/>
      <c r="C26" s="5">
        <f t="shared" si="0"/>
        <v>254.82682213770951</v>
      </c>
      <c r="D26" s="1"/>
    </row>
    <row r="27" spans="1:4">
      <c r="A27" s="1">
        <f>Data!A21</f>
        <v>19</v>
      </c>
      <c r="B27" s="5"/>
      <c r="C27" s="5">
        <f t="shared" si="0"/>
        <v>246.13260122998909</v>
      </c>
      <c r="D27" s="1"/>
    </row>
    <row r="28" spans="1:4">
      <c r="A28" s="1">
        <f>Data!A22</f>
        <v>20</v>
      </c>
      <c r="B28" s="5"/>
      <c r="C28" s="5">
        <f t="shared" si="0"/>
        <v>238.09167861298235</v>
      </c>
      <c r="D28" s="1"/>
    </row>
    <row r="29" spans="1:4">
      <c r="A29" s="1">
        <f>Data!A23</f>
        <v>21</v>
      </c>
      <c r="B29" s="5"/>
      <c r="C29" s="5">
        <f t="shared" si="0"/>
        <v>230.63034592824224</v>
      </c>
      <c r="D29" s="1"/>
    </row>
    <row r="30" spans="1:4">
      <c r="A30" s="1">
        <f>Data!A24</f>
        <v>22</v>
      </c>
      <c r="B30" s="5"/>
      <c r="C30" s="5">
        <f t="shared" si="0"/>
        <v>223.68577121501471</v>
      </c>
      <c r="D30" s="1"/>
    </row>
    <row r="31" spans="1:4">
      <c r="A31" s="1">
        <f>Data!A25</f>
        <v>23</v>
      </c>
      <c r="B31" s="5"/>
      <c r="C31" s="5">
        <f t="shared" si="0"/>
        <v>217.20404464632892</v>
      </c>
      <c r="D31" s="1"/>
    </row>
    <row r="32" spans="1:4">
      <c r="A32" s="1">
        <f>Data!A26</f>
        <v>24</v>
      </c>
      <c r="B32" s="5"/>
      <c r="C32" s="5">
        <f t="shared" si="0"/>
        <v>211.13863362061105</v>
      </c>
      <c r="D32" s="1"/>
    </row>
    <row r="33" spans="1:4">
      <c r="A33" s="1">
        <f>Data!A27</f>
        <v>25</v>
      </c>
      <c r="B33" s="5"/>
      <c r="C33" s="5">
        <f t="shared" si="0"/>
        <v>205.44915012185012</v>
      </c>
      <c r="D33" s="1"/>
    </row>
    <row r="34" spans="1:4">
      <c r="A34" s="1">
        <f>Data!A28</f>
        <v>26</v>
      </c>
      <c r="B34" s="5"/>
      <c r="C34" s="5">
        <f t="shared" si="0"/>
        <v>200.10035879504701</v>
      </c>
      <c r="D34" s="1"/>
    </row>
    <row r="35" spans="1:4">
      <c r="A35" s="1">
        <f>Data!A29</f>
        <v>27</v>
      </c>
      <c r="B35" s="5"/>
      <c r="C35" s="5">
        <f t="shared" si="0"/>
        <v>195.0613723857434</v>
      </c>
      <c r="D35" s="1"/>
    </row>
    <row r="36" spans="1:4">
      <c r="A36" s="1">
        <f>Data!A30</f>
        <v>28</v>
      </c>
      <c r="B36" s="5"/>
      <c r="C36" s="5">
        <f t="shared" si="0"/>
        <v>190.30499433378088</v>
      </c>
      <c r="D36" s="1"/>
    </row>
    <row r="37" spans="1:4">
      <c r="A37" s="1">
        <f>Data!A31</f>
        <v>29</v>
      </c>
      <c r="B37" s="5"/>
      <c r="C37" s="5">
        <f t="shared" si="0"/>
        <v>185.80717791141885</v>
      </c>
      <c r="D37" s="1"/>
    </row>
    <row r="38" spans="1:4">
      <c r="A38" s="1">
        <f>Data!A32</f>
        <v>30</v>
      </c>
      <c r="B38" s="5"/>
      <c r="C38" s="5">
        <f t="shared" si="0"/>
        <v>181.54657838603021</v>
      </c>
      <c r="D38" s="1"/>
    </row>
    <row r="39" spans="1:4">
      <c r="A39" s="1">
        <f>Data!A33</f>
        <v>31</v>
      </c>
      <c r="B39" s="5"/>
      <c r="C39" s="5">
        <f t="shared" si="0"/>
        <v>177.50417997767934</v>
      </c>
      <c r="D39" s="1"/>
    </row>
    <row r="40" spans="1:4">
      <c r="A40" s="1">
        <f>Data!A34</f>
        <v>32</v>
      </c>
      <c r="B40" s="5"/>
      <c r="C40" s="5">
        <f t="shared" si="0"/>
        <v>173.66298336674066</v>
      </c>
      <c r="D40" s="1"/>
    </row>
    <row r="41" spans="1:4">
      <c r="A41" s="1">
        <f>Data!A35</f>
        <v>33</v>
      </c>
      <c r="B41" s="5"/>
      <c r="C41" s="5">
        <f t="shared" si="0"/>
        <v>170.00774253528937</v>
      </c>
      <c r="D41" s="1"/>
    </row>
    <row r="42" spans="1:4">
      <c r="A42" s="1">
        <f>Data!A36</f>
        <v>34</v>
      </c>
      <c r="B42" s="5"/>
      <c r="C42" s="5">
        <f t="shared" si="0"/>
        <v>166.52474204713994</v>
      </c>
      <c r="D42" s="1"/>
    </row>
    <row r="43" spans="1:4">
      <c r="A43" s="1">
        <f>Data!A37</f>
        <v>35</v>
      </c>
      <c r="B43" s="5"/>
      <c r="C43" s="5">
        <f t="shared" si="0"/>
        <v>163.20160766443973</v>
      </c>
      <c r="D43" s="1"/>
    </row>
    <row r="44" spans="1:4">
      <c r="A44" s="1">
        <f>Data!A38</f>
        <v>36</v>
      </c>
      <c r="B44" s="5"/>
      <c r="C44" s="5">
        <f t="shared" si="0"/>
        <v>160.02714459411462</v>
      </c>
      <c r="D44" s="1"/>
    </row>
    <row r="45" spans="1:4">
      <c r="A45" s="1">
        <f>Data!A39</f>
        <v>37</v>
      </c>
      <c r="B45" s="5"/>
      <c r="C45" s="5">
        <f t="shared" si="0"/>
        <v>156.99119875103759</v>
      </c>
      <c r="D45" s="1"/>
    </row>
    <row r="46" spans="1:4">
      <c r="A46" s="1">
        <f>Data!A40</f>
        <v>38</v>
      </c>
      <c r="B46" s="5"/>
      <c r="C46" s="5">
        <f t="shared" si="0"/>
        <v>154.0845372875182</v>
      </c>
      <c r="D46" s="1"/>
    </row>
    <row r="47" spans="1:4">
      <c r="A47" s="1">
        <f>Data!A41</f>
        <v>39</v>
      </c>
      <c r="B47" s="5"/>
      <c r="C47" s="5">
        <f t="shared" si="0"/>
        <v>151.29874532360981</v>
      </c>
      <c r="D47" s="1"/>
    </row>
    <row r="48" spans="1:4">
      <c r="A48" s="1">
        <f>Data!A42</f>
        <v>40</v>
      </c>
      <c r="B48" s="5"/>
      <c r="C48" s="5">
        <f t="shared" si="0"/>
        <v>148.62613635969365</v>
      </c>
      <c r="D48" s="1"/>
    </row>
    <row r="49" spans="1:4">
      <c r="A49" s="1">
        <f>Data!A43</f>
        <v>41</v>
      </c>
      <c r="B49" s="5"/>
      <c r="C49" s="5">
        <f t="shared" si="0"/>
        <v>146.05967429207948</v>
      </c>
      <c r="D49" s="1"/>
    </row>
    <row r="50" spans="1:4">
      <c r="A50" s="1">
        <f>Data!A44</f>
        <v>42</v>
      </c>
      <c r="B50" s="5"/>
      <c r="C50" s="5">
        <f t="shared" si="0"/>
        <v>143.59290530706312</v>
      </c>
      <c r="D50" s="1"/>
    </row>
    <row r="51" spans="1:4">
      <c r="A51" s="1">
        <f>Data!A45</f>
        <v>43</v>
      </c>
      <c r="B51" s="5"/>
      <c r="C51" s="5">
        <f t="shared" si="0"/>
        <v>141.21989821675015</v>
      </c>
      <c r="D51" s="1"/>
    </row>
    <row r="52" spans="1:4">
      <c r="A52" s="1">
        <f>Data!A46</f>
        <v>44</v>
      </c>
      <c r="B52" s="5"/>
      <c r="C52" s="5">
        <f t="shared" si="0"/>
        <v>138.93519203472755</v>
      </c>
      <c r="D52" s="1"/>
    </row>
    <row r="53" spans="1:4">
      <c r="A53" s="1">
        <f>Data!A47</f>
        <v>45</v>
      </c>
      <c r="B53" s="5"/>
      <c r="C53" s="5">
        <f t="shared" si="0"/>
        <v>136.73374978202659</v>
      </c>
      <c r="D53" s="1"/>
    </row>
    <row r="54" spans="1:4">
      <c r="A54" s="1">
        <f>Data!A48</f>
        <v>46</v>
      </c>
      <c r="B54" s="5"/>
      <c r="C54" s="5">
        <f t="shared" si="0"/>
        <v>134.610917672136</v>
      </c>
      <c r="D54" s="1"/>
    </row>
    <row r="55" spans="1:4">
      <c r="A55" s="1">
        <f>Data!A49</f>
        <v>47</v>
      </c>
      <c r="B55" s="5"/>
      <c r="C55" s="5">
        <f t="shared" si="0"/>
        <v>132.56238895466691</v>
      </c>
      <c r="D55" s="1"/>
    </row>
    <row r="56" spans="1:4">
      <c r="A56" s="1">
        <f>Data!A50</f>
        <v>48</v>
      </c>
      <c r="B56" s="5"/>
      <c r="C56" s="5">
        <f t="shared" si="0"/>
        <v>130.58417180586116</v>
      </c>
      <c r="D56" s="1"/>
    </row>
    <row r="57" spans="1:4">
      <c r="A57" s="1">
        <f>Data!A51</f>
        <v>49</v>
      </c>
      <c r="B57" s="5"/>
      <c r="C57" s="5">
        <f t="shared" si="0"/>
        <v>128.67256074459286</v>
      </c>
      <c r="D57" s="1"/>
    </row>
    <row r="58" spans="1:4">
      <c r="A58" s="1">
        <f>Data!A52</f>
        <v>50</v>
      </c>
      <c r="B58" s="5"/>
      <c r="C58" s="5">
        <f t="shared" si="0"/>
        <v>126.82411112816384</v>
      </c>
      <c r="D58" s="1"/>
    </row>
    <row r="59" spans="1:4">
      <c r="A59" s="1">
        <f>Data!A53</f>
        <v>51</v>
      </c>
      <c r="B59" s="5"/>
      <c r="C59" s="5">
        <f t="shared" si="0"/>
        <v>125.0356163456765</v>
      </c>
      <c r="D59" s="1"/>
    </row>
    <row r="60" spans="1:4">
      <c r="A60" s="1">
        <f>Data!A54</f>
        <v>52</v>
      </c>
      <c r="B60" s="5"/>
      <c r="C60" s="5">
        <f t="shared" si="0"/>
        <v>123.30408738023148</v>
      </c>
      <c r="D60" s="1"/>
    </row>
    <row r="61" spans="1:4">
      <c r="A61" s="1">
        <f>Data!A55</f>
        <v>53</v>
      </c>
      <c r="B61" s="5"/>
      <c r="C61" s="5">
        <f t="shared" si="0"/>
        <v>121.62673445636683</v>
      </c>
      <c r="D61" s="1"/>
    </row>
    <row r="62" spans="1:4">
      <c r="A62" s="1">
        <f>Data!A56</f>
        <v>54</v>
      </c>
      <c r="B62" s="5"/>
      <c r="C62" s="5">
        <f t="shared" si="0"/>
        <v>120.00095052744398</v>
      </c>
      <c r="D62" s="1"/>
    </row>
    <row r="63" spans="1:4">
      <c r="A63" s="1">
        <f>Data!A57</f>
        <v>55</v>
      </c>
      <c r="B63" s="5"/>
      <c r="C63" s="5">
        <f t="shared" si="0"/>
        <v>118.4242963902372</v>
      </c>
      <c r="D63" s="1"/>
    </row>
    <row r="64" spans="1:4">
      <c r="A64" s="1">
        <f>Data!A58</f>
        <v>56</v>
      </c>
      <c r="B64" s="5"/>
      <c r="C64" s="5">
        <f t="shared" si="0"/>
        <v>116.8944872417414</v>
      </c>
      <c r="D64" s="1"/>
    </row>
    <row r="65" spans="1:4">
      <c r="A65" s="1">
        <f>Data!A59</f>
        <v>57</v>
      </c>
      <c r="B65" s="5"/>
      <c r="C65" s="5">
        <f t="shared" si="0"/>
        <v>115.40938051695183</v>
      </c>
      <c r="D65" s="1"/>
    </row>
    <row r="66" spans="1:4">
      <c r="A66" s="1">
        <f>Data!A60</f>
        <v>58</v>
      </c>
      <c r="B66" s="5"/>
      <c r="C66" s="5">
        <f t="shared" si="0"/>
        <v>113.96696486672295</v>
      </c>
      <c r="D66" s="1"/>
    </row>
    <row r="67" spans="1:4">
      <c r="A67" s="1">
        <f>Data!A61</f>
        <v>59</v>
      </c>
      <c r="B67" s="5"/>
      <c r="C67" s="5">
        <f t="shared" si="0"/>
        <v>112.56535015231697</v>
      </c>
      <c r="D67" s="1"/>
    </row>
    <row r="68" spans="1:4">
      <c r="A68" s="1">
        <f>Data!A62</f>
        <v>60</v>
      </c>
      <c r="B68" s="5"/>
      <c r="C68" s="5">
        <f t="shared" si="0"/>
        <v>111.20275834833744</v>
      </c>
      <c r="D68" s="1"/>
    </row>
    <row r="69" spans="1:4">
      <c r="A69" s="1">
        <f>Data!A63</f>
        <v>61</v>
      </c>
      <c r="B69" s="5"/>
      <c r="C69" s="5">
        <f t="shared" si="0"/>
        <v>109.87751525877991</v>
      </c>
      <c r="D69" s="1"/>
    </row>
    <row r="70" spans="1:4">
      <c r="A70" s="1">
        <f>Data!A64</f>
        <v>62</v>
      </c>
      <c r="B70" s="5"/>
      <c r="C70" s="5">
        <f t="shared" si="0"/>
        <v>108.5880429622253</v>
      </c>
      <c r="D70" s="1"/>
    </row>
    <row r="71" spans="1:4">
      <c r="A71" s="1">
        <f>Data!A65</f>
        <v>63</v>
      </c>
      <c r="B71" s="5"/>
      <c r="C71" s="5">
        <f t="shared" si="0"/>
        <v>107.33285291200367</v>
      </c>
      <c r="D71" s="1"/>
    </row>
    <row r="72" spans="1:4">
      <c r="A72" s="1">
        <f>Data!A66</f>
        <v>64</v>
      </c>
      <c r="B72" s="5"/>
      <c r="C72" s="5">
        <f t="shared" si="0"/>
        <v>106.11053962569002</v>
      </c>
      <c r="D72" s="1"/>
    </row>
    <row r="73" spans="1:4">
      <c r="A73" s="1">
        <f>Data!A67</f>
        <v>65</v>
      </c>
      <c r="B73" s="5"/>
      <c r="C73" s="5">
        <f t="shared" ref="C73:C127" si="2">$B$2*(1+$B$4*$B$3*A73)^(-1/$B$4)</f>
        <v>104.91977490573127</v>
      </c>
      <c r="D73" s="1"/>
    </row>
    <row r="74" spans="1:4">
      <c r="A74" s="1">
        <f>Data!A68</f>
        <v>66</v>
      </c>
      <c r="B74" s="5"/>
      <c r="C74" s="5">
        <f t="shared" si="2"/>
        <v>103.75930253950712</v>
      </c>
      <c r="D74" s="1"/>
    </row>
    <row r="75" spans="1:4">
      <c r="A75" s="1">
        <f>Data!A69</f>
        <v>67</v>
      </c>
      <c r="B75" s="5"/>
      <c r="C75" s="5">
        <f t="shared" si="2"/>
        <v>102.62793343282044</v>
      </c>
      <c r="D75" s="1"/>
    </row>
    <row r="76" spans="1:4">
      <c r="A76" s="1">
        <f>Data!A70</f>
        <v>68</v>
      </c>
      <c r="B76" s="5"/>
      <c r="C76" s="5">
        <f t="shared" si="2"/>
        <v>101.52454113580778</v>
      </c>
      <c r="D76" s="1"/>
    </row>
    <row r="77" spans="1:4">
      <c r="A77" s="1">
        <f>Data!A71</f>
        <v>69</v>
      </c>
      <c r="B77" s="5"/>
      <c r="C77" s="5">
        <f t="shared" si="2"/>
        <v>100.44805772465425</v>
      </c>
      <c r="D77" s="1"/>
    </row>
    <row r="78" spans="1:4">
      <c r="A78" s="1">
        <f>Data!A72</f>
        <v>70</v>
      </c>
      <c r="B78" s="5"/>
      <c r="C78" s="5">
        <f t="shared" si="2"/>
        <v>99.397470006363065</v>
      </c>
      <c r="D78" s="1"/>
    </row>
    <row r="79" spans="1:4">
      <c r="A79" s="1">
        <f>Data!A73</f>
        <v>71</v>
      </c>
      <c r="B79" s="5"/>
      <c r="C79" s="5">
        <f t="shared" si="2"/>
        <v>98.371816017244953</v>
      </c>
      <c r="D79" s="1"/>
    </row>
    <row r="80" spans="1:4">
      <c r="A80" s="1">
        <f>Data!A74</f>
        <v>72</v>
      </c>
      <c r="B80" s="5"/>
      <c r="C80" s="5">
        <f t="shared" si="2"/>
        <v>97.370181788808281</v>
      </c>
      <c r="D80" s="1"/>
    </row>
    <row r="81" spans="1:4">
      <c r="A81" s="1">
        <f>Data!A75</f>
        <v>73</v>
      </c>
      <c r="B81" s="5"/>
      <c r="C81" s="5">
        <f t="shared" si="2"/>
        <v>96.391698357402774</v>
      </c>
      <c r="D81" s="1"/>
    </row>
    <row r="82" spans="1:4">
      <c r="A82" s="1">
        <f>Data!A76</f>
        <v>74</v>
      </c>
      <c r="B82" s="5"/>
      <c r="C82" s="5">
        <f t="shared" si="2"/>
        <v>95.435538996338977</v>
      </c>
      <c r="D82" s="1"/>
    </row>
    <row r="83" spans="1:4">
      <c r="A83" s="1">
        <f>Data!A77</f>
        <v>75</v>
      </c>
      <c r="B83" s="5"/>
      <c r="C83" s="5">
        <f t="shared" si="2"/>
        <v>94.500916651309296</v>
      </c>
      <c r="D83" s="1"/>
    </row>
    <row r="84" spans="1:4">
      <c r="A84" s="1">
        <f>Data!A78</f>
        <v>76</v>
      </c>
      <c r="B84" s="5"/>
      <c r="C84" s="5">
        <f t="shared" si="2"/>
        <v>93.587081561810905</v>
      </c>
      <c r="D84" s="1"/>
    </row>
    <row r="85" spans="1:4">
      <c r="A85" s="1">
        <f>Data!A79</f>
        <v>77</v>
      </c>
      <c r="B85" s="5"/>
      <c r="C85" s="5">
        <f t="shared" si="2"/>
        <v>92.693319052937525</v>
      </c>
      <c r="D85" s="1"/>
    </row>
    <row r="86" spans="1:4">
      <c r="A86" s="1">
        <f>Data!A80</f>
        <v>78</v>
      </c>
      <c r="B86" s="5"/>
      <c r="C86" s="5">
        <f t="shared" si="2"/>
        <v>91.818947483398318</v>
      </c>
      <c r="D86" s="1"/>
    </row>
    <row r="87" spans="1:4">
      <c r="A87" s="1">
        <f>Data!A81</f>
        <v>79</v>
      </c>
      <c r="B87" s="5"/>
      <c r="C87" s="5">
        <f t="shared" si="2"/>
        <v>90.963316336952047</v>
      </c>
      <c r="D87" s="1"/>
    </row>
    <row r="88" spans="1:4">
      <c r="A88" s="1">
        <f>Data!A82</f>
        <v>80</v>
      </c>
      <c r="B88" s="5"/>
      <c r="C88" s="5">
        <f t="shared" si="2"/>
        <v>90.125804445635765</v>
      </c>
      <c r="D88" s="1"/>
    </row>
    <row r="89" spans="1:4">
      <c r="A89" s="1">
        <f>Data!A83</f>
        <v>81</v>
      </c>
      <c r="B89" s="5"/>
      <c r="C89" s="5">
        <f t="shared" si="2"/>
        <v>89.305818334237387</v>
      </c>
      <c r="D89" s="1"/>
    </row>
    <row r="90" spans="1:4">
      <c r="A90" s="1">
        <f>Data!A84</f>
        <v>82</v>
      </c>
      <c r="B90" s="5"/>
      <c r="C90" s="5">
        <f t="shared" si="2"/>
        <v>88.502790676416325</v>
      </c>
      <c r="D90" s="1"/>
    </row>
    <row r="91" spans="1:4">
      <c r="A91" s="1">
        <f>Data!A85</f>
        <v>83</v>
      </c>
      <c r="B91" s="5"/>
      <c r="C91" s="5">
        <f t="shared" si="2"/>
        <v>87.716178853740615</v>
      </c>
      <c r="D91" s="1"/>
    </row>
    <row r="92" spans="1:4">
      <c r="A92" s="1">
        <f>Data!A86</f>
        <v>84</v>
      </c>
      <c r="B92" s="5"/>
      <c r="C92" s="5">
        <f t="shared" si="2"/>
        <v>86.945463609682776</v>
      </c>
      <c r="D92" s="1"/>
    </row>
    <row r="93" spans="1:4">
      <c r="A93" s="1">
        <f>Data!A87</f>
        <v>85</v>
      </c>
      <c r="B93" s="5"/>
      <c r="C93" s="5">
        <f t="shared" si="2"/>
        <v>86.190147791314502</v>
      </c>
      <c r="D93" s="1"/>
    </row>
    <row r="94" spans="1:4">
      <c r="A94" s="1">
        <f>Data!A88</f>
        <v>86</v>
      </c>
      <c r="B94" s="5"/>
      <c r="C94" s="5">
        <f t="shared" si="2"/>
        <v>85.44975517207061</v>
      </c>
      <c r="D94" s="1"/>
    </row>
    <row r="95" spans="1:4">
      <c r="A95" s="1">
        <f>Data!A89</f>
        <v>87</v>
      </c>
      <c r="B95" s="5"/>
      <c r="C95" s="5">
        <f t="shared" si="2"/>
        <v>84.723829349522433</v>
      </c>
      <c r="D95" s="1"/>
    </row>
    <row r="96" spans="1:4">
      <c r="A96" s="1">
        <f>Data!A90</f>
        <v>88</v>
      </c>
      <c r="B96" s="5"/>
      <c r="C96" s="5">
        <f t="shared" si="2"/>
        <v>84.011932712612364</v>
      </c>
      <c r="D96" s="1"/>
    </row>
    <row r="97" spans="1:4">
      <c r="A97" s="1">
        <f>Data!A91</f>
        <v>89</v>
      </c>
      <c r="B97" s="5"/>
      <c r="C97" s="5">
        <f t="shared" si="2"/>
        <v>83.313645473270839</v>
      </c>
      <c r="D97" s="1"/>
    </row>
    <row r="98" spans="1:4">
      <c r="A98" s="1">
        <f>Data!A92</f>
        <v>90</v>
      </c>
      <c r="B98" s="5"/>
      <c r="C98" s="5">
        <f t="shared" si="2"/>
        <v>82.628564757755427</v>
      </c>
      <c r="D98" s="1"/>
    </row>
    <row r="99" spans="1:4">
      <c r="A99" s="1">
        <f>Data!A93</f>
        <v>91</v>
      </c>
      <c r="B99" s="5"/>
      <c r="C99" s="5">
        <f t="shared" si="2"/>
        <v>81.956303753436785</v>
      </c>
      <c r="D99" s="1"/>
    </row>
    <row r="100" spans="1:4">
      <c r="A100" s="1">
        <f>Data!A94</f>
        <v>92</v>
      </c>
      <c r="B100" s="5"/>
      <c r="C100" s="5">
        <f t="shared" si="2"/>
        <v>81.296490907103149</v>
      </c>
      <c r="D100" s="1"/>
    </row>
    <row r="101" spans="1:4">
      <c r="A101" s="1">
        <f>Data!A95</f>
        <v>93</v>
      </c>
      <c r="B101" s="5"/>
      <c r="C101" s="5">
        <f t="shared" si="2"/>
        <v>80.648769171170812</v>
      </c>
      <c r="D101" s="1"/>
    </row>
    <row r="102" spans="1:4">
      <c r="A102" s="1">
        <f>Data!A96</f>
        <v>94</v>
      </c>
      <c r="B102" s="5"/>
      <c r="C102" s="5">
        <f t="shared" si="2"/>
        <v>80.012795294476462</v>
      </c>
      <c r="D102" s="1"/>
    </row>
    <row r="103" spans="1:4">
      <c r="A103" s="1">
        <f>Data!A97</f>
        <v>95</v>
      </c>
      <c r="B103" s="5"/>
      <c r="C103" s="5">
        <f t="shared" si="2"/>
        <v>79.388239154589058</v>
      </c>
      <c r="D103" s="1"/>
    </row>
    <row r="104" spans="1:4">
      <c r="A104" s="1">
        <f>Data!A98</f>
        <v>96</v>
      </c>
      <c r="B104" s="5"/>
      <c r="C104" s="5">
        <f t="shared" si="2"/>
        <v>78.774783128817731</v>
      </c>
      <c r="D104" s="1"/>
    </row>
    <row r="105" spans="1:4">
      <c r="A105" s="1">
        <f>Data!A99</f>
        <v>97</v>
      </c>
      <c r="B105" s="5"/>
      <c r="C105" s="5">
        <f t="shared" si="2"/>
        <v>78.1721215013104</v>
      </c>
      <c r="D105" s="1"/>
    </row>
    <row r="106" spans="1:4">
      <c r="A106" s="1">
        <f>Data!A100</f>
        <v>98</v>
      </c>
      <c r="B106" s="5"/>
      <c r="C106" s="5">
        <f t="shared" si="2"/>
        <v>77.579959903837235</v>
      </c>
      <c r="D106" s="1"/>
    </row>
    <row r="107" spans="1:4">
      <c r="A107" s="1">
        <f>Data!A101</f>
        <v>99</v>
      </c>
      <c r="B107" s="5"/>
      <c r="C107" s="5">
        <f t="shared" si="2"/>
        <v>76.998014788036059</v>
      </c>
      <c r="D107" s="1"/>
    </row>
    <row r="108" spans="1:4">
      <c r="A108" s="1">
        <f>Data!A102</f>
        <v>100</v>
      </c>
      <c r="B108" s="5"/>
      <c r="C108" s="5">
        <f t="shared" si="2"/>
        <v>76.426012927061819</v>
      </c>
      <c r="D108" s="1"/>
    </row>
    <row r="109" spans="1:4">
      <c r="A109" s="1">
        <f>Data!A103</f>
        <v>101</v>
      </c>
      <c r="B109" s="5"/>
      <c r="C109" s="5">
        <f t="shared" si="2"/>
        <v>75.863690944736859</v>
      </c>
      <c r="D109" s="1"/>
    </row>
    <row r="110" spans="1:4">
      <c r="A110" s="1">
        <f>Data!A104</f>
        <v>102</v>
      </c>
      <c r="B110" s="5"/>
      <c r="C110" s="5">
        <f t="shared" si="2"/>
        <v>75.3107948704384</v>
      </c>
      <c r="D110" s="1"/>
    </row>
    <row r="111" spans="1:4">
      <c r="A111" s="1">
        <f>Data!A105</f>
        <v>103</v>
      </c>
      <c r="B111" s="5"/>
      <c r="C111" s="5">
        <f t="shared" si="2"/>
        <v>74.767079718087601</v>
      </c>
      <c r="D111" s="1"/>
    </row>
    <row r="112" spans="1:4">
      <c r="A112" s="1">
        <f>Data!A106</f>
        <v>104</v>
      </c>
      <c r="B112" s="5"/>
      <c r="C112" s="5">
        <f t="shared" si="2"/>
        <v>74.232309087723294</v>
      </c>
      <c r="D112" s="1"/>
    </row>
    <row r="113" spans="1:4">
      <c r="A113" s="1">
        <f>Data!A107</f>
        <v>105</v>
      </c>
      <c r="B113" s="5"/>
      <c r="C113" s="5">
        <f t="shared" si="2"/>
        <v>73.706254788252153</v>
      </c>
      <c r="D113" s="1"/>
    </row>
    <row r="114" spans="1:4">
      <c r="A114" s="1">
        <f>Data!A108</f>
        <v>106</v>
      </c>
      <c r="B114" s="5"/>
      <c r="C114" s="5">
        <f t="shared" si="2"/>
        <v>73.188696480066881</v>
      </c>
      <c r="D114" s="1"/>
    </row>
    <row r="115" spans="1:4">
      <c r="A115" s="1">
        <f>Data!A109</f>
        <v>107</v>
      </c>
      <c r="B115" s="5"/>
      <c r="C115" s="5">
        <f t="shared" si="2"/>
        <v>72.679421336314903</v>
      </c>
      <c r="D115" s="1"/>
    </row>
    <row r="116" spans="1:4">
      <c r="A116" s="1">
        <f>Data!A110</f>
        <v>108</v>
      </c>
      <c r="B116" s="5"/>
      <c r="C116" s="5">
        <f t="shared" si="2"/>
        <v>72.178223721687132</v>
      </c>
      <c r="D116" s="1"/>
    </row>
    <row r="117" spans="1:4">
      <c r="A117" s="1">
        <f>Data!A111</f>
        <v>109</v>
      </c>
      <c r="B117" s="5"/>
      <c r="C117" s="5">
        <f t="shared" si="2"/>
        <v>71.684904887671692</v>
      </c>
      <c r="D117" s="1"/>
    </row>
    <row r="118" spans="1:4">
      <c r="A118" s="1">
        <f>Data!A112</f>
        <v>110</v>
      </c>
      <c r="B118" s="5"/>
      <c r="C118" s="5">
        <f t="shared" si="2"/>
        <v>71.199272683292122</v>
      </c>
      <c r="D118" s="1"/>
    </row>
    <row r="119" spans="1:4">
      <c r="A119" s="1">
        <f>Data!A113</f>
        <v>111</v>
      </c>
      <c r="B119" s="5"/>
      <c r="C119" s="5">
        <f t="shared" si="2"/>
        <v>70.721141280414074</v>
      </c>
      <c r="D119" s="1"/>
    </row>
    <row r="120" spans="1:4">
      <c r="A120" s="1">
        <f>Data!A114</f>
        <v>112</v>
      </c>
      <c r="B120" s="5"/>
      <c r="C120" s="5">
        <f t="shared" si="2"/>
        <v>70.250330912767836</v>
      </c>
      <c r="D120" s="1"/>
    </row>
    <row r="121" spans="1:4">
      <c r="A121" s="1">
        <f>Data!A115</f>
        <v>113</v>
      </c>
      <c r="B121" s="5"/>
      <c r="C121" s="5">
        <f t="shared" si="2"/>
        <v>69.786667627889258</v>
      </c>
      <c r="D121" s="1"/>
    </row>
    <row r="122" spans="1:4">
      <c r="A122" s="1">
        <f>Data!A116</f>
        <v>114</v>
      </c>
      <c r="B122" s="5"/>
      <c r="C122" s="5">
        <f t="shared" si="2"/>
        <v>69.329983051235828</v>
      </c>
      <c r="D122" s="1"/>
    </row>
    <row r="123" spans="1:4">
      <c r="A123" s="1">
        <f>Data!A117</f>
        <v>115</v>
      </c>
      <c r="B123" s="5"/>
      <c r="C123" s="5">
        <f t="shared" si="2"/>
        <v>68.880114161782231</v>
      </c>
      <c r="D123" s="1"/>
    </row>
    <row r="124" spans="1:4">
      <c r="A124" s="1">
        <f>Data!A118</f>
        <v>116</v>
      </c>
      <c r="B124" s="5"/>
      <c r="C124" s="5">
        <f t="shared" si="2"/>
        <v>68.43690307844544</v>
      </c>
      <c r="D124" s="1"/>
    </row>
    <row r="125" spans="1:4">
      <c r="A125" s="1">
        <f>Data!A119</f>
        <v>117</v>
      </c>
      <c r="B125" s="5"/>
      <c r="C125" s="5">
        <f t="shared" si="2"/>
        <v>68.000196856731563</v>
      </c>
      <c r="D125" s="1"/>
    </row>
    <row r="126" spans="1:4">
      <c r="A126" s="1">
        <f>Data!A120</f>
        <v>118</v>
      </c>
      <c r="B126" s="5"/>
      <c r="C126" s="5">
        <f t="shared" si="2"/>
        <v>67.56984729503445</v>
      </c>
      <c r="D126" s="1"/>
    </row>
    <row r="127" spans="1:4">
      <c r="A127" s="1">
        <f>Data!A121</f>
        <v>119</v>
      </c>
      <c r="B127" s="5"/>
      <c r="C127" s="5">
        <f t="shared" si="2"/>
        <v>67.145710750053851</v>
      </c>
      <c r="D127"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2026-08-22T15:14:59Z</dcterms:created>
  <dcterms:modified xsi:type="dcterms:W3CDTF">2026-09-14T22:25:38Z</dcterms:modified>
  <cp:category/>
  <cp:contentStatus/>
</cp:coreProperties>
</file>