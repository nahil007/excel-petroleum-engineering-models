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4458FDB0-66B4-4066-BB68-CB4EEA991CB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eadMe" sheetId="1" r:id="rId1"/>
    <sheet name="Inputs" sheetId="2" r:id="rId2"/>
    <sheet name="Production History" sheetId="3" r:id="rId3"/>
    <sheet name="Z-Factor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4" i="1" l="1"/>
  <c r="B3" i="4"/>
  <c r="B15" i="4"/>
  <c r="B14" i="4"/>
  <c r="B13" i="4"/>
  <c r="B12" i="4"/>
  <c r="B10" i="4"/>
  <c r="B9" i="4"/>
  <c r="D3" i="3"/>
  <c r="E3" i="3"/>
  <c r="F3" i="3"/>
  <c r="G3" i="3"/>
  <c r="H3" i="3"/>
  <c r="I3" i="3"/>
  <c r="J3" i="3"/>
  <c r="K3" i="3"/>
  <c r="D4" i="3"/>
  <c r="E4" i="3"/>
  <c r="F4" i="3"/>
  <c r="G4" i="3"/>
  <c r="H4" i="3"/>
  <c r="I4" i="3"/>
  <c r="J4" i="3"/>
  <c r="K4" i="3"/>
  <c r="D5" i="3"/>
  <c r="E5" i="3"/>
  <c r="F5" i="3"/>
  <c r="G5" i="3"/>
  <c r="H5" i="3"/>
  <c r="I5" i="3"/>
  <c r="J5" i="3"/>
  <c r="K5" i="3"/>
  <c r="D6" i="3"/>
  <c r="E6" i="3"/>
  <c r="F6" i="3"/>
  <c r="G6" i="3"/>
  <c r="H6" i="3"/>
  <c r="I6" i="3"/>
  <c r="J6" i="3"/>
  <c r="K6" i="3"/>
  <c r="D7" i="3"/>
  <c r="E7" i="3"/>
  <c r="F7" i="3"/>
  <c r="G7" i="3"/>
  <c r="H7" i="3"/>
  <c r="I7" i="3"/>
  <c r="J7" i="3"/>
  <c r="K7" i="3"/>
  <c r="D8" i="3"/>
  <c r="E8" i="3"/>
  <c r="F8" i="3"/>
  <c r="G8" i="3"/>
  <c r="H8" i="3"/>
  <c r="I8" i="3"/>
  <c r="J8" i="3"/>
  <c r="K8" i="3"/>
  <c r="D9" i="3"/>
  <c r="E9" i="3"/>
  <c r="F9" i="3"/>
  <c r="G9" i="3"/>
  <c r="H9" i="3"/>
  <c r="I9" i="3"/>
  <c r="J9" i="3"/>
  <c r="K9" i="3"/>
  <c r="D10" i="3"/>
  <c r="E10" i="3"/>
  <c r="F10" i="3"/>
  <c r="G10" i="3"/>
  <c r="H10" i="3"/>
  <c r="I10" i="3"/>
  <c r="J10" i="3"/>
  <c r="K10" i="3"/>
  <c r="D11" i="3"/>
  <c r="E11" i="3"/>
  <c r="F11" i="3"/>
  <c r="G11" i="3"/>
  <c r="H11" i="3"/>
  <c r="I11" i="3"/>
  <c r="J11" i="3"/>
  <c r="K11" i="3"/>
  <c r="D12" i="3"/>
  <c r="E12" i="3"/>
  <c r="F12" i="3"/>
  <c r="G12" i="3"/>
  <c r="H12" i="3"/>
  <c r="I12" i="3"/>
  <c r="J12" i="3"/>
  <c r="K12" i="3"/>
  <c r="D13" i="3"/>
  <c r="E13" i="3"/>
  <c r="F13" i="3"/>
  <c r="G13" i="3"/>
  <c r="H13" i="3"/>
  <c r="I13" i="3"/>
  <c r="J13" i="3"/>
  <c r="K13" i="3"/>
  <c r="D14" i="3"/>
  <c r="E14" i="3"/>
  <c r="F14" i="3"/>
  <c r="G14" i="3"/>
  <c r="H14" i="3"/>
  <c r="I14" i="3"/>
  <c r="J14" i="3"/>
  <c r="K14" i="3"/>
  <c r="D15" i="3"/>
  <c r="E15" i="3"/>
  <c r="F15" i="3"/>
  <c r="G15" i="3"/>
  <c r="H15" i="3"/>
  <c r="I15" i="3"/>
  <c r="J15" i="3"/>
  <c r="K15" i="3"/>
  <c r="D16" i="3"/>
  <c r="E16" i="3"/>
  <c r="F16" i="3"/>
  <c r="G16" i="3"/>
  <c r="H16" i="3"/>
  <c r="I16" i="3"/>
  <c r="J16" i="3"/>
  <c r="K16" i="3"/>
  <c r="D17" i="3"/>
  <c r="E17" i="3"/>
  <c r="F17" i="3"/>
  <c r="G17" i="3"/>
  <c r="H17" i="3"/>
  <c r="I17" i="3"/>
  <c r="J17" i="3"/>
  <c r="K17" i="3"/>
  <c r="D18" i="3"/>
  <c r="E18" i="3"/>
  <c r="F18" i="3"/>
  <c r="G18" i="3"/>
  <c r="H18" i="3"/>
  <c r="I18" i="3"/>
  <c r="J18" i="3"/>
  <c r="K18" i="3"/>
  <c r="D19" i="3"/>
  <c r="E19" i="3"/>
  <c r="F19" i="3"/>
  <c r="G19" i="3"/>
  <c r="H19" i="3"/>
  <c r="I19" i="3"/>
  <c r="J19" i="3"/>
  <c r="K19" i="3"/>
  <c r="D20" i="3"/>
  <c r="E20" i="3"/>
  <c r="F20" i="3"/>
  <c r="G20" i="3"/>
  <c r="H20" i="3"/>
  <c r="I20" i="3"/>
  <c r="J20" i="3"/>
  <c r="K20" i="3"/>
  <c r="D21" i="3"/>
  <c r="E21" i="3"/>
  <c r="F21" i="3"/>
  <c r="G21" i="3"/>
  <c r="H21" i="3"/>
  <c r="I21" i="3"/>
  <c r="J21" i="3"/>
  <c r="K21" i="3"/>
  <c r="K2" i="3"/>
  <c r="J2" i="3"/>
  <c r="I2" i="3"/>
  <c r="H2" i="3"/>
  <c r="G2" i="3"/>
  <c r="F2" i="3"/>
  <c r="E2" i="3"/>
  <c r="D2" i="3"/>
  <c r="B2" i="4"/>
  <c r="B1" i="4"/>
  <c r="B11" i="4" l="1"/>
</calcChain>
</file>

<file path=xl/sharedStrings.xml><?xml version="1.0" encoding="utf-8"?>
<sst xmlns="http://schemas.openxmlformats.org/spreadsheetml/2006/main" count="54" uniqueCount="45">
  <si>
    <t>Gas Reservoir Material Balance</t>
  </si>
  <si>
    <t>This tool was built with guidance from Claude (Anthropic's AI assistant), 
which was used as a learning aid to understand the underlying formulas, 
Excel functions, and the Solver-alternative approach used here. The 
practice dataset used to test and validate the tool during development 
was also AI-generated sample data, standing in for real well production 
numbers.</t>
  </si>
  <si>
    <t>Purpose</t>
  </si>
  <si>
    <t>This workbook estimates Original Gas in Place (OGIP) for a gas reservoir using the p/Z material balance method.</t>
  </si>
  <si>
    <t>How to use</t>
  </si>
  <si>
    <t>See Inputs tab for reservoir parameters, Production History tab for data, and Z-Factor / p-Z Plot tabs for results.</t>
  </si>
  <si>
    <t>Z-Factor Method</t>
  </si>
  <si>
    <t>Z was calculated using the Beggs-Brill explicit correlation (an approximation) rather than iterative Hall-Yarborough, for simplicity.</t>
  </si>
  <si>
    <t>OGIP Result</t>
  </si>
  <si>
    <t>Model Assumptions: Volumetric dry-gas reservoir above dew point. No water influx or compaction drive included. Not valid for gas-condensate reservoirs or reservoirs with significant water drive.</t>
  </si>
  <si>
    <t>Color Legend</t>
  </si>
  <si>
    <t>Blue text = input (edit these)</t>
  </si>
  <si>
    <t>Black text = formula (do not overwrite)</t>
  </si>
  <si>
    <t>Green text = link to another tab</t>
  </si>
  <si>
    <t>Author: Nahil Nigar</t>
  </si>
  <si>
    <t>Reservoir Temperature (deg R)</t>
  </si>
  <si>
    <t>Gas Specific Gravity (G)</t>
  </si>
  <si>
    <t>Initial Pressure p_i (psi)</t>
  </si>
  <si>
    <t>Date</t>
  </si>
  <si>
    <t>Cumulative Gas Produced (Gp, MMscf)</t>
  </si>
  <si>
    <t>Reservoir Pressure (p, psi)</t>
  </si>
  <si>
    <t>Ppr</t>
  </si>
  <si>
    <t>Tpr</t>
  </si>
  <si>
    <t>A param</t>
  </si>
  <si>
    <t>B param</t>
  </si>
  <si>
    <t>C param</t>
  </si>
  <si>
    <t>D param</t>
  </si>
  <si>
    <t>Z</t>
  </si>
  <si>
    <t>p/Z</t>
  </si>
  <si>
    <t>Notes</t>
  </si>
  <si>
    <t>Beggs-Brill approximation to Standing-Katz Z-factor chart</t>
  </si>
  <si>
    <t>Pseudo-Critical Pressure (Ppc, psi)</t>
  </si>
  <si>
    <t>Pseudo-Critical Temperature (Tpc, deg R)</t>
  </si>
  <si>
    <t>B parameter</t>
  </si>
  <si>
    <t>C parameter</t>
  </si>
  <si>
    <t>D parameter</t>
  </si>
  <si>
    <t>Slope</t>
  </si>
  <si>
    <t>Intercept</t>
  </si>
  <si>
    <t>OGIP (MMscf)</t>
  </si>
  <si>
    <t>MMscf</t>
  </si>
  <si>
    <t>R-squared (fit quality)</t>
  </si>
  <si>
    <t>fraction</t>
  </si>
  <si>
    <t>Latest Cumulative Production, Gp</t>
  </si>
  <si>
    <t>Current Recovery Factor (Gp/G)</t>
  </si>
  <si>
    <t>Remaining Recoverable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</si>
</sst>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u/>
      <sz val="18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'Production History'!$K$1</c:f>
              <c:strCache>
                <c:ptCount val="1"/>
                <c:pt idx="0">
                  <c:v>p/Z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3058180227471564E-2"/>
                  <c:y val="-0.167936716243802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'Production History'!B2:B21</c:f>
              <c:numCache>
                <c:formatCode>General</c:formatCode>
                <c:ptCount val="20"/>
                <c:pt idx="0">
                  <c:v>0</c:v>
                </c:pt>
                <c:pt idx="1">
                  <c:v>150</c:v>
                </c:pt>
                <c:pt idx="2">
                  <c:v>320</c:v>
                </c:pt>
                <c:pt idx="3">
                  <c:v>500</c:v>
                </c:pt>
                <c:pt idx="4">
                  <c:v>690</c:v>
                </c:pt>
                <c:pt idx="5">
                  <c:v>890</c:v>
                </c:pt>
                <c:pt idx="6">
                  <c:v>1100</c:v>
                </c:pt>
                <c:pt idx="7">
                  <c:v>1320</c:v>
                </c:pt>
              </c:numCache>
            </c:numRef>
          </c:xVal>
          <c:yVal>
            <c:numRef>
              <c:f>'Production History'!K2:K21</c:f>
              <c:numCache>
                <c:formatCode>General</c:formatCode>
                <c:ptCount val="20"/>
                <c:pt idx="0">
                  <c:v>4880.2332222150262</c:v>
                </c:pt>
                <c:pt idx="1">
                  <c:v>4664.470813257085</c:v>
                </c:pt>
                <c:pt idx="2">
                  <c:v>4427.1952133272589</c:v>
                </c:pt>
                <c:pt idx="3">
                  <c:v>4166.0596170219551</c:v>
                </c:pt>
                <c:pt idx="4">
                  <c:v>3879.3928645255678</c:v>
                </c:pt>
                <c:pt idx="5">
                  <c:v>3566.7093720297953</c:v>
                </c:pt>
                <c:pt idx="6">
                  <c:v>3229.2197228100263</c:v>
                </c:pt>
                <c:pt idx="7">
                  <c:v>2870.1972570167509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4B-4915-906A-C151A3B84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709448"/>
        <c:axId val="555711496"/>
      </c:scatterChart>
      <c:valAx>
        <c:axId val="555709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711496"/>
        <c:crosses val="autoZero"/>
        <c:crossBetween val="midCat"/>
      </c:valAx>
      <c:valAx>
        <c:axId val="555711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709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1000125</xdr:colOff>
      <xdr:row>11</xdr:row>
      <xdr:rowOff>171450</xdr:rowOff>
    </xdr:from>
    <xdr:to>
      <xdr:col>9</xdr:col>
      <xdr:colOff>361950</xdr:colOff>
      <xdr:row>26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62CBC7-7991-0C25-6294-B9CCDD95A9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workbookViewId="0">
      <selection activeCell="E6" sqref="E6"/>
    </sheetView>
  </sheetViews>
  <sheetFormatPr defaultRowHeight="15"/>
  <cols>
    <col min="1" max="1" width="96.140625" customWidth="1"/>
  </cols>
  <sheetData>
    <row r="1" spans="1:1" ht="23.25">
      <c r="A1" s="7" t="s">
        <v>0</v>
      </c>
    </row>
    <row r="2" spans="1:1" ht="91.5">
      <c r="A2" s="8" t="s">
        <v>1</v>
      </c>
    </row>
    <row r="4" spans="1:1">
      <c r="A4" s="1" t="s">
        <v>2</v>
      </c>
    </row>
    <row r="5" spans="1:1">
      <c r="A5" t="s">
        <v>3</v>
      </c>
    </row>
    <row r="7" spans="1:1">
      <c r="A7" s="1" t="s">
        <v>4</v>
      </c>
    </row>
    <row r="8" spans="1:1">
      <c r="A8" t="s">
        <v>5</v>
      </c>
    </row>
    <row r="10" spans="1:1">
      <c r="A10" s="1" t="s">
        <v>6</v>
      </c>
    </row>
    <row r="11" spans="1:1">
      <c r="A11" t="s">
        <v>7</v>
      </c>
    </row>
    <row r="13" spans="1:1">
      <c r="A13" s="1" t="s">
        <v>8</v>
      </c>
    </row>
    <row r="14" spans="1:1">
      <c r="A14" s="6">
        <f>'Z-Factor'!B11</f>
        <v>3226.7828510528275</v>
      </c>
    </row>
    <row r="16" spans="1:1">
      <c r="A16" t="s">
        <v>9</v>
      </c>
    </row>
    <row r="18" spans="1:1">
      <c r="A18" s="1" t="s">
        <v>10</v>
      </c>
    </row>
    <row r="19" spans="1:1">
      <c r="A19" t="s">
        <v>11</v>
      </c>
    </row>
    <row r="20" spans="1:1">
      <c r="A20" t="s">
        <v>12</v>
      </c>
    </row>
    <row r="21" spans="1:1">
      <c r="A21" t="s">
        <v>13</v>
      </c>
    </row>
    <row r="24" spans="1:1">
      <c r="A2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B6628-8FCD-4017-9F56-8690B0503876}">
  <dimension ref="A1:B3"/>
  <sheetViews>
    <sheetView workbookViewId="0">
      <selection activeCell="I22" sqref="I22"/>
    </sheetView>
  </sheetViews>
  <sheetFormatPr defaultRowHeight="15"/>
  <cols>
    <col min="1" max="1" width="26.85546875" customWidth="1"/>
  </cols>
  <sheetData>
    <row r="1" spans="1:2">
      <c r="A1" t="s">
        <v>15</v>
      </c>
      <c r="B1" s="3">
        <v>620</v>
      </c>
    </row>
    <row r="2" spans="1:2">
      <c r="A2" t="s">
        <v>16</v>
      </c>
      <c r="B2" s="3">
        <v>0.65</v>
      </c>
    </row>
    <row r="3" spans="1:2">
      <c r="A3" t="s">
        <v>17</v>
      </c>
      <c r="B3" s="3">
        <v>4500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A4F4B-37DE-4476-A0B6-8B872F4FF905}">
  <dimension ref="A1:L21"/>
  <sheetViews>
    <sheetView workbookViewId="0">
      <pane ySplit="1" topLeftCell="A2" activePane="bottomLeft" state="frozen"/>
      <selection pane="bottomLeft" activeCell="B15" sqref="B15"/>
    </sheetView>
  </sheetViews>
  <sheetFormatPr defaultRowHeight="15"/>
  <cols>
    <col min="1" max="1" width="10.42578125" bestFit="1" customWidth="1"/>
    <col min="2" max="2" width="22.7109375" customWidth="1"/>
    <col min="3" max="3" width="23.28515625" customWidth="1"/>
    <col min="12" max="12" width="50" customWidth="1"/>
  </cols>
  <sheetData>
    <row r="1" spans="1:12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1" t="s">
        <v>29</v>
      </c>
    </row>
    <row r="2" spans="1:12">
      <c r="A2" s="4">
        <v>45292</v>
      </c>
      <c r="B2" s="3">
        <v>0</v>
      </c>
      <c r="C2" s="3">
        <v>4500</v>
      </c>
      <c r="D2">
        <f>IF($C2="","",C2/'Z-Factor'!$B$1)</f>
        <v>6.7073454748707437</v>
      </c>
      <c r="E2">
        <f>IF($C2="","",Inputs!$B$1/'Z-Factor'!$B$2)</f>
        <v>1.6578925378123173</v>
      </c>
      <c r="F2">
        <f>IF($C2="","",1.39*(E2-0.92)^0.5-0.36*E2-0.101)</f>
        <v>0.49617802136802491</v>
      </c>
      <c r="G2">
        <f>IF($C2="","",(0.62-0.23*E2)*D2+(0.066/(E2-0.86)-0.037)*D2^2+0.32*D2^6/(10^(9*(E2-1))))</f>
        <v>3.692668015496142</v>
      </c>
      <c r="H2">
        <f>IF($C2="","",0.132-0.32*LOG10(E2))</f>
        <v>6.1741959427629486E-2</v>
      </c>
      <c r="I2">
        <f>IF($C2="","",10^(0.3106-0.49*E2+0.1824*E2^2))</f>
        <v>0.99903037959072083</v>
      </c>
      <c r="J2">
        <f>IF($C2="","",F2+(1-F2)/EXP(G2)+H2*D2^I2)</f>
        <v>0.92208707967394088</v>
      </c>
      <c r="K2">
        <f>IF($C2="","",C2/J2)</f>
        <v>4880.2332222150262</v>
      </c>
      <c r="L2" t="s">
        <v>30</v>
      </c>
    </row>
    <row r="3" spans="1:12">
      <c r="A3" s="4">
        <v>45383</v>
      </c>
      <c r="B3" s="3">
        <v>150</v>
      </c>
      <c r="C3" s="3">
        <v>4200</v>
      </c>
      <c r="D3">
        <f>IF($C3="","",C3/'Z-Factor'!$B$1)</f>
        <v>6.2601891098793612</v>
      </c>
      <c r="E3">
        <f>IF($C3="","",Inputs!$B$1/'Z-Factor'!$B$2)</f>
        <v>1.6578925378123173</v>
      </c>
      <c r="F3">
        <f t="shared" ref="F3:F21" si="0">IF($C3="","",1.39*(E3-0.92)^0.5-0.36*E3-0.101)</f>
        <v>0.49617802136802491</v>
      </c>
      <c r="G3">
        <f t="shared" ref="G3:G21" si="1">IF($C3="","",(0.62-0.23*E3)*D3+(0.066/(E3-0.86)-0.037)*D3^2+0.32*D3^6/(10^(9*(E3-1))))</f>
        <v>3.3089963127291107</v>
      </c>
      <c r="H3">
        <f t="shared" ref="H3:H21" si="2">IF($C3="","",0.132-0.32*LOG10(E3))</f>
        <v>6.1741959427629486E-2</v>
      </c>
      <c r="I3">
        <f t="shared" ref="I3:I21" si="3">IF($C3="","",10^(0.3106-0.49*E3+0.1824*E3^2))</f>
        <v>0.99903037959072083</v>
      </c>
      <c r="J3">
        <f t="shared" ref="J3:J21" si="4">IF($C3="","",F3+(1-F3)/EXP(G3)+H3*D3^I3)</f>
        <v>0.90042368537562867</v>
      </c>
      <c r="K3">
        <f t="shared" ref="K3:K21" si="5">IF($C3="","",C3/J3)</f>
        <v>4664.470813257085</v>
      </c>
      <c r="L3" t="s">
        <v>30</v>
      </c>
    </row>
    <row r="4" spans="1:12">
      <c r="A4" s="4">
        <v>45474</v>
      </c>
      <c r="B4" s="3">
        <v>320</v>
      </c>
      <c r="C4" s="3">
        <v>3900</v>
      </c>
      <c r="D4">
        <f>IF($C4="","",C4/'Z-Factor'!$B$1)</f>
        <v>5.8130327448879777</v>
      </c>
      <c r="E4">
        <f>IF($C4="","",Inputs!$B$1/'Z-Factor'!$B$2)</f>
        <v>1.6578925378123173</v>
      </c>
      <c r="F4">
        <f t="shared" si="0"/>
        <v>0.49617802136802491</v>
      </c>
      <c r="G4">
        <f t="shared" si="1"/>
        <v>2.9471610964732124</v>
      </c>
      <c r="H4">
        <f t="shared" si="2"/>
        <v>6.1741959427629486E-2</v>
      </c>
      <c r="I4">
        <f t="shared" si="3"/>
        <v>0.99903037959072083</v>
      </c>
      <c r="J4">
        <f t="shared" si="4"/>
        <v>0.88091891413772894</v>
      </c>
      <c r="K4">
        <f t="shared" si="5"/>
        <v>4427.1952133272589</v>
      </c>
      <c r="L4" t="s">
        <v>30</v>
      </c>
    </row>
    <row r="5" spans="1:12">
      <c r="A5" s="4">
        <v>45566</v>
      </c>
      <c r="B5" s="3">
        <v>500</v>
      </c>
      <c r="C5" s="3">
        <v>3600</v>
      </c>
      <c r="D5">
        <f>IF($C5="","",C5/'Z-Factor'!$B$1)</f>
        <v>5.3658763798965952</v>
      </c>
      <c r="E5">
        <f>IF($C5="","",Inputs!$B$1/'Z-Factor'!$B$2)</f>
        <v>1.6578925378123173</v>
      </c>
      <c r="F5">
        <f t="shared" si="0"/>
        <v>0.49617802136802491</v>
      </c>
      <c r="G5">
        <f t="shared" si="1"/>
        <v>2.6062527891535421</v>
      </c>
      <c r="H5">
        <f t="shared" si="2"/>
        <v>6.1741959427629486E-2</v>
      </c>
      <c r="I5">
        <f t="shared" si="3"/>
        <v>0.99903037959072083</v>
      </c>
      <c r="J5">
        <f t="shared" si="4"/>
        <v>0.86412589615637947</v>
      </c>
      <c r="K5">
        <f t="shared" si="5"/>
        <v>4166.0596170219551</v>
      </c>
      <c r="L5" t="s">
        <v>30</v>
      </c>
    </row>
    <row r="6" spans="1:12">
      <c r="A6" s="4">
        <v>45658</v>
      </c>
      <c r="B6" s="3">
        <v>690</v>
      </c>
      <c r="C6" s="3">
        <v>3300</v>
      </c>
      <c r="D6">
        <f>IF($C6="","",C6/'Z-Factor'!$B$1)</f>
        <v>4.9187200149052126</v>
      </c>
      <c r="E6">
        <f>IF($C6="","",Inputs!$B$1/'Z-Factor'!$B$2)</f>
        <v>1.6578925378123173</v>
      </c>
      <c r="F6">
        <f t="shared" si="0"/>
        <v>0.49617802136802491</v>
      </c>
      <c r="G6">
        <f t="shared" si="1"/>
        <v>2.2855488463496396</v>
      </c>
      <c r="H6">
        <f t="shared" si="2"/>
        <v>6.1741959427629486E-2</v>
      </c>
      <c r="I6">
        <f t="shared" si="3"/>
        <v>0.99903037959072083</v>
      </c>
      <c r="J6">
        <f t="shared" si="4"/>
        <v>0.85064857188769794</v>
      </c>
      <c r="K6">
        <f t="shared" si="5"/>
        <v>3879.3928645255678</v>
      </c>
      <c r="L6" t="s">
        <v>30</v>
      </c>
    </row>
    <row r="7" spans="1:12">
      <c r="A7" s="4">
        <v>45748</v>
      </c>
      <c r="B7" s="3">
        <v>890</v>
      </c>
      <c r="C7" s="3">
        <v>3000</v>
      </c>
      <c r="D7">
        <f>IF($C7="","",C7/'Z-Factor'!$B$1)</f>
        <v>4.4715636499138292</v>
      </c>
      <c r="E7">
        <f>IF($C7="","",Inputs!$B$1/'Z-Factor'!$B$2)</f>
        <v>1.6578925378123173</v>
      </c>
      <c r="F7">
        <f t="shared" si="0"/>
        <v>0.49617802136802491</v>
      </c>
      <c r="G7">
        <f t="shared" si="1"/>
        <v>1.9844861436329178</v>
      </c>
      <c r="H7">
        <f t="shared" si="2"/>
        <v>6.1741959427629486E-2</v>
      </c>
      <c r="I7">
        <f t="shared" si="3"/>
        <v>0.99903037959072083</v>
      </c>
      <c r="J7">
        <f t="shared" si="4"/>
        <v>0.84111142430781116</v>
      </c>
      <c r="K7">
        <f t="shared" si="5"/>
        <v>3566.7093720297953</v>
      </c>
      <c r="L7" t="s">
        <v>30</v>
      </c>
    </row>
    <row r="8" spans="1:12">
      <c r="A8" s="4">
        <v>45839</v>
      </c>
      <c r="B8" s="3">
        <v>1100</v>
      </c>
      <c r="C8" s="3">
        <v>2700</v>
      </c>
      <c r="D8">
        <f>IF($C8="","",C8/'Z-Factor'!$B$1)</f>
        <v>4.0244072849224466</v>
      </c>
      <c r="E8">
        <f>IF($C8="","",Inputs!$B$1/'Z-Factor'!$B$2)</f>
        <v>1.6578925378123173</v>
      </c>
      <c r="F8">
        <f t="shared" si="0"/>
        <v>0.49617802136802491</v>
      </c>
      <c r="G8">
        <f t="shared" si="1"/>
        <v>1.7026355724571125</v>
      </c>
      <c r="H8">
        <f t="shared" si="2"/>
        <v>6.1741959427629486E-2</v>
      </c>
      <c r="I8">
        <f t="shared" si="3"/>
        <v>0.99903037959072083</v>
      </c>
      <c r="J8">
        <f t="shared" si="4"/>
        <v>0.83611529464167089</v>
      </c>
      <c r="K8">
        <f t="shared" si="5"/>
        <v>3229.2197228100263</v>
      </c>
      <c r="L8" t="s">
        <v>30</v>
      </c>
    </row>
    <row r="9" spans="1:12">
      <c r="A9" s="4">
        <v>45931</v>
      </c>
      <c r="B9" s="3">
        <v>1320</v>
      </c>
      <c r="C9" s="3">
        <v>2400</v>
      </c>
      <c r="D9">
        <f>IF($C9="","",C9/'Z-Factor'!$B$1)</f>
        <v>3.5772509199310636</v>
      </c>
      <c r="E9">
        <f>IF($C9="","",Inputs!$B$1/'Z-Factor'!$B$2)</f>
        <v>1.6578925378123173</v>
      </c>
      <c r="F9">
        <f t="shared" si="0"/>
        <v>0.49617802136802491</v>
      </c>
      <c r="G9">
        <f t="shared" si="1"/>
        <v>1.4396788451017188</v>
      </c>
      <c r="H9">
        <f t="shared" si="2"/>
        <v>6.1741959427629486E-2</v>
      </c>
      <c r="I9">
        <f t="shared" si="3"/>
        <v>0.99903037959072083</v>
      </c>
      <c r="J9">
        <f t="shared" si="4"/>
        <v>0.83617946262499454</v>
      </c>
      <c r="K9">
        <f t="shared" si="5"/>
        <v>2870.1972570167509</v>
      </c>
      <c r="L9" t="s">
        <v>30</v>
      </c>
    </row>
    <row r="10" spans="1:12">
      <c r="A10" s="4"/>
      <c r="B10" s="3"/>
      <c r="C10" s="3"/>
      <c r="D10" t="str">
        <f>IF($C10="","",C10/'Z-Factor'!$B$1)</f>
        <v/>
      </c>
      <c r="E10" t="str">
        <f>IF($C10="","",Inputs!$B$1/'Z-Factor'!$B$2)</f>
        <v/>
      </c>
      <c r="F10" t="str">
        <f t="shared" si="0"/>
        <v/>
      </c>
      <c r="G10" t="str">
        <f t="shared" si="1"/>
        <v/>
      </c>
      <c r="H10" t="str">
        <f t="shared" si="2"/>
        <v/>
      </c>
      <c r="I10" t="str">
        <f t="shared" si="3"/>
        <v/>
      </c>
      <c r="J10" t="str">
        <f t="shared" si="4"/>
        <v/>
      </c>
      <c r="K10" t="str">
        <f t="shared" si="5"/>
        <v/>
      </c>
    </row>
    <row r="11" spans="1:12">
      <c r="A11" s="3"/>
      <c r="B11" s="3"/>
      <c r="C11" s="3"/>
      <c r="D11" t="str">
        <f>IF($C11="","",C11/'Z-Factor'!$B$1)</f>
        <v/>
      </c>
      <c r="E11" t="str">
        <f>IF($C11="","",Inputs!$B$1/'Z-Factor'!$B$2)</f>
        <v/>
      </c>
      <c r="F11" t="str">
        <f t="shared" si="0"/>
        <v/>
      </c>
      <c r="G11" t="str">
        <f t="shared" si="1"/>
        <v/>
      </c>
      <c r="H11" t="str">
        <f t="shared" si="2"/>
        <v/>
      </c>
      <c r="I11" t="str">
        <f t="shared" si="3"/>
        <v/>
      </c>
      <c r="J11" t="str">
        <f t="shared" si="4"/>
        <v/>
      </c>
      <c r="K11" t="str">
        <f t="shared" si="5"/>
        <v/>
      </c>
    </row>
    <row r="12" spans="1:12">
      <c r="A12" s="3"/>
      <c r="B12" s="3"/>
      <c r="C12" s="3"/>
      <c r="D12" t="str">
        <f>IF($C12="","",C12/'Z-Factor'!$B$1)</f>
        <v/>
      </c>
      <c r="E12" t="str">
        <f>IF($C12="","",Inputs!$B$1/'Z-Factor'!$B$2)</f>
        <v/>
      </c>
      <c r="F12" t="str">
        <f t="shared" si="0"/>
        <v/>
      </c>
      <c r="G12" t="str">
        <f t="shared" si="1"/>
        <v/>
      </c>
      <c r="H12" t="str">
        <f t="shared" si="2"/>
        <v/>
      </c>
      <c r="I12" t="str">
        <f t="shared" si="3"/>
        <v/>
      </c>
      <c r="J12" t="str">
        <f t="shared" si="4"/>
        <v/>
      </c>
      <c r="K12" t="str">
        <f t="shared" si="5"/>
        <v/>
      </c>
    </row>
    <row r="13" spans="1:12">
      <c r="A13" s="3"/>
      <c r="B13" s="3"/>
      <c r="C13" s="3"/>
      <c r="D13" t="str">
        <f>IF($C13="","",C13/'Z-Factor'!$B$1)</f>
        <v/>
      </c>
      <c r="E13" t="str">
        <f>IF($C13="","",Inputs!$B$1/'Z-Factor'!$B$2)</f>
        <v/>
      </c>
      <c r="F13" t="str">
        <f t="shared" si="0"/>
        <v/>
      </c>
      <c r="G13" t="str">
        <f t="shared" si="1"/>
        <v/>
      </c>
      <c r="H13" t="str">
        <f t="shared" si="2"/>
        <v/>
      </c>
      <c r="I13" t="str">
        <f t="shared" si="3"/>
        <v/>
      </c>
      <c r="J13" t="str">
        <f t="shared" si="4"/>
        <v/>
      </c>
      <c r="K13" t="str">
        <f t="shared" si="5"/>
        <v/>
      </c>
    </row>
    <row r="14" spans="1:12">
      <c r="A14" s="3"/>
      <c r="B14" s="3"/>
      <c r="C14" s="3"/>
      <c r="D14" t="str">
        <f>IF($C14="","",C14/'Z-Factor'!$B$1)</f>
        <v/>
      </c>
      <c r="E14" t="str">
        <f>IF($C14="","",Inputs!$B$1/'Z-Factor'!$B$2)</f>
        <v/>
      </c>
      <c r="F14" t="str">
        <f t="shared" si="0"/>
        <v/>
      </c>
      <c r="G14" t="str">
        <f t="shared" si="1"/>
        <v/>
      </c>
      <c r="H14" t="str">
        <f t="shared" si="2"/>
        <v/>
      </c>
      <c r="I14" t="str">
        <f t="shared" si="3"/>
        <v/>
      </c>
      <c r="J14" t="str">
        <f t="shared" si="4"/>
        <v/>
      </c>
      <c r="K14" t="str">
        <f t="shared" si="5"/>
        <v/>
      </c>
    </row>
    <row r="15" spans="1:12">
      <c r="A15" s="3"/>
      <c r="B15" s="3"/>
      <c r="C15" s="3"/>
      <c r="D15" t="str">
        <f>IF($C15="","",C15/'Z-Factor'!$B$1)</f>
        <v/>
      </c>
      <c r="E15" t="str">
        <f>IF($C15="","",Inputs!$B$1/'Z-Factor'!$B$2)</f>
        <v/>
      </c>
      <c r="F15" t="str">
        <f t="shared" si="0"/>
        <v/>
      </c>
      <c r="G15" t="str">
        <f t="shared" si="1"/>
        <v/>
      </c>
      <c r="H15" t="str">
        <f t="shared" si="2"/>
        <v/>
      </c>
      <c r="I15" t="str">
        <f t="shared" si="3"/>
        <v/>
      </c>
      <c r="J15" t="str">
        <f t="shared" si="4"/>
        <v/>
      </c>
      <c r="K15" t="str">
        <f t="shared" si="5"/>
        <v/>
      </c>
    </row>
    <row r="16" spans="1:12">
      <c r="A16" s="3"/>
      <c r="B16" s="3"/>
      <c r="C16" s="3"/>
      <c r="D16" t="str">
        <f>IF($C16="","",C16/'Z-Factor'!$B$1)</f>
        <v/>
      </c>
      <c r="E16" t="str">
        <f>IF($C16="","",Inputs!$B$1/'Z-Factor'!$B$2)</f>
        <v/>
      </c>
      <c r="F16" t="str">
        <f t="shared" si="0"/>
        <v/>
      </c>
      <c r="G16" t="str">
        <f t="shared" si="1"/>
        <v/>
      </c>
      <c r="H16" t="str">
        <f t="shared" si="2"/>
        <v/>
      </c>
      <c r="I16" t="str">
        <f t="shared" si="3"/>
        <v/>
      </c>
      <c r="J16" t="str">
        <f t="shared" si="4"/>
        <v/>
      </c>
      <c r="K16" t="str">
        <f t="shared" si="5"/>
        <v/>
      </c>
    </row>
    <row r="17" spans="1:11">
      <c r="A17" s="3"/>
      <c r="B17" s="3"/>
      <c r="C17" s="3"/>
      <c r="D17" t="str">
        <f>IF($C17="","",C17/'Z-Factor'!$B$1)</f>
        <v/>
      </c>
      <c r="E17" t="str">
        <f>IF($C17="","",Inputs!$B$1/'Z-Factor'!$B$2)</f>
        <v/>
      </c>
      <c r="F17" t="str">
        <f t="shared" si="0"/>
        <v/>
      </c>
      <c r="G17" t="str">
        <f t="shared" si="1"/>
        <v/>
      </c>
      <c r="H17" t="str">
        <f t="shared" si="2"/>
        <v/>
      </c>
      <c r="I17" t="str">
        <f t="shared" si="3"/>
        <v/>
      </c>
      <c r="J17" t="str">
        <f t="shared" si="4"/>
        <v/>
      </c>
      <c r="K17" t="str">
        <f t="shared" si="5"/>
        <v/>
      </c>
    </row>
    <row r="18" spans="1:11">
      <c r="A18" s="3"/>
      <c r="B18" s="3"/>
      <c r="C18" s="3"/>
      <c r="D18" t="str">
        <f>IF($C18="","",C18/'Z-Factor'!$B$1)</f>
        <v/>
      </c>
      <c r="E18" t="str">
        <f>IF($C18="","",Inputs!$B$1/'Z-Factor'!$B$2)</f>
        <v/>
      </c>
      <c r="F18" t="str">
        <f t="shared" si="0"/>
        <v/>
      </c>
      <c r="G18" t="str">
        <f t="shared" si="1"/>
        <v/>
      </c>
      <c r="H18" t="str">
        <f t="shared" si="2"/>
        <v/>
      </c>
      <c r="I18" t="str">
        <f t="shared" si="3"/>
        <v/>
      </c>
      <c r="J18" t="str">
        <f t="shared" si="4"/>
        <v/>
      </c>
      <c r="K18" t="str">
        <f t="shared" si="5"/>
        <v/>
      </c>
    </row>
    <row r="19" spans="1:11">
      <c r="A19" s="3"/>
      <c r="B19" s="3"/>
      <c r="C19" s="3"/>
      <c r="D19" t="str">
        <f>IF($C19="","",C19/'Z-Factor'!$B$1)</f>
        <v/>
      </c>
      <c r="E19" t="str">
        <f>IF($C19="","",Inputs!$B$1/'Z-Factor'!$B$2)</f>
        <v/>
      </c>
      <c r="F19" t="str">
        <f t="shared" si="0"/>
        <v/>
      </c>
      <c r="G19" t="str">
        <f t="shared" si="1"/>
        <v/>
      </c>
      <c r="H19" t="str">
        <f t="shared" si="2"/>
        <v/>
      </c>
      <c r="I19" t="str">
        <f t="shared" si="3"/>
        <v/>
      </c>
      <c r="J19" t="str">
        <f t="shared" si="4"/>
        <v/>
      </c>
      <c r="K19" t="str">
        <f t="shared" si="5"/>
        <v/>
      </c>
    </row>
    <row r="20" spans="1:11">
      <c r="A20" s="3"/>
      <c r="B20" s="3"/>
      <c r="C20" s="3"/>
      <c r="D20" t="str">
        <f>IF($C20="","",C20/'Z-Factor'!$B$1)</f>
        <v/>
      </c>
      <c r="E20" t="str">
        <f>IF($C20="","",Inputs!$B$1/'Z-Factor'!$B$2)</f>
        <v/>
      </c>
      <c r="F20" t="str">
        <f t="shared" si="0"/>
        <v/>
      </c>
      <c r="G20" t="str">
        <f t="shared" si="1"/>
        <v/>
      </c>
      <c r="H20" t="str">
        <f t="shared" si="2"/>
        <v/>
      </c>
      <c r="I20" t="str">
        <f t="shared" si="3"/>
        <v/>
      </c>
      <c r="J20" t="str">
        <f t="shared" si="4"/>
        <v/>
      </c>
      <c r="K20" t="str">
        <f t="shared" si="5"/>
        <v/>
      </c>
    </row>
    <row r="21" spans="1:11">
      <c r="A21" s="3"/>
      <c r="B21" s="3"/>
      <c r="C21" s="3"/>
      <c r="D21" t="str">
        <f>IF($C21="","",C21/'Z-Factor'!$B$1)</f>
        <v/>
      </c>
      <c r="E21" t="str">
        <f>IF($C21="","",Inputs!$B$1/'Z-Factor'!$B$2)</f>
        <v/>
      </c>
      <c r="F21" t="str">
        <f t="shared" si="0"/>
        <v/>
      </c>
      <c r="G21" t="str">
        <f t="shared" si="1"/>
        <v/>
      </c>
      <c r="H21" t="str">
        <f t="shared" si="2"/>
        <v/>
      </c>
      <c r="I21" t="str">
        <f t="shared" si="3"/>
        <v/>
      </c>
      <c r="J21" t="str">
        <f t="shared" si="4"/>
        <v/>
      </c>
      <c r="K21" t="str">
        <f t="shared" si="5"/>
        <v/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95ECF-47C1-4181-9AA0-21DAA2894C77}">
  <dimension ref="A1:C15"/>
  <sheetViews>
    <sheetView workbookViewId="0">
      <selection activeCell="J20" sqref="J20"/>
    </sheetView>
  </sheetViews>
  <sheetFormatPr defaultRowHeight="15"/>
  <cols>
    <col min="1" max="1" width="36.140625" customWidth="1"/>
  </cols>
  <sheetData>
    <row r="1" spans="1:3">
      <c r="A1" t="s">
        <v>31</v>
      </c>
      <c r="B1">
        <f>677+15*Inputs!B2-37.5*Inputs!B2^2</f>
        <v>670.90625</v>
      </c>
    </row>
    <row r="2" spans="1:3">
      <c r="A2" t="s">
        <v>32</v>
      </c>
      <c r="B2">
        <f>168+325*Inputs!B2-12.5*Inputs!B2^2</f>
        <v>373.96875</v>
      </c>
    </row>
    <row r="3" spans="1:3">
      <c r="A3" t="s">
        <v>15</v>
      </c>
      <c r="B3" s="5">
        <f>Inputs!B1</f>
        <v>620</v>
      </c>
    </row>
    <row r="4" spans="1:3">
      <c r="A4" t="s">
        <v>33</v>
      </c>
    </row>
    <row r="5" spans="1:3">
      <c r="A5" t="s">
        <v>34</v>
      </c>
    </row>
    <row r="6" spans="1:3">
      <c r="A6" t="s">
        <v>35</v>
      </c>
    </row>
    <row r="9" spans="1:3">
      <c r="A9" t="s">
        <v>36</v>
      </c>
      <c r="B9">
        <f>SLOPE('Production History'!K2:K21,'Production History'!B2:B21)</f>
        <v>-1.5200095284444892</v>
      </c>
    </row>
    <row r="10" spans="1:3">
      <c r="A10" t="s">
        <v>37</v>
      </c>
      <c r="B10">
        <f>INTERCEPT('Production History'!K2:K21,'Production History'!B2:B21)</f>
        <v>4904.7406798215725</v>
      </c>
    </row>
    <row r="11" spans="1:3">
      <c r="A11" t="s">
        <v>38</v>
      </c>
      <c r="B11">
        <f>-B10/B9</f>
        <v>3226.7828510528275</v>
      </c>
      <c r="C11" t="s">
        <v>39</v>
      </c>
    </row>
    <row r="12" spans="1:3">
      <c r="A12" t="s">
        <v>40</v>
      </c>
      <c r="B12">
        <f>RSQ('Production History'!K2:K21,'Production History'!B2:B21)</f>
        <v>0.99918071132367947</v>
      </c>
      <c r="C12" t="s">
        <v>41</v>
      </c>
    </row>
    <row r="13" spans="1:3">
      <c r="A13" t="s">
        <v>42</v>
      </c>
      <c r="B13">
        <f>MAX('Production History'!B2:B21)</f>
        <v>1320</v>
      </c>
      <c r="C13" t="s">
        <v>39</v>
      </c>
    </row>
    <row r="14" spans="1:3">
      <c r="A14" t="s">
        <v>43</v>
      </c>
      <c r="B14">
        <f>B13/B11</f>
        <v>0.40907617925678308</v>
      </c>
    </row>
    <row r="15" spans="1:3">
      <c r="A15" t="s">
        <v>44</v>
      </c>
      <c r="B15">
        <f>B11-B13</f>
        <v>1906.7828510528275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2026-08-17T18:32:02Z</dcterms:created>
  <dcterms:modified xsi:type="dcterms:W3CDTF">2026-08-22T18:54:34Z</dcterms:modified>
  <cp:category/>
  <cp:contentStatus/>
</cp:coreProperties>
</file>